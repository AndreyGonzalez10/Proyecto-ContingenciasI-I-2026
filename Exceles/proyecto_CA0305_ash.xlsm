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icad\OneDrive\Documentos\UCR\1 Semestre 2026\Conti 1\Proyecto\Proyecto-ContingenciasI-I-2026\Exceles\"/>
    </mc:Choice>
  </mc:AlternateContent>
  <xr:revisionPtr revIDLastSave="0" documentId="13_ncr:1_{0BF079E1-E786-43B3-A02A-5A62DF3DF2D6}" xr6:coauthVersionLast="47" xr6:coauthVersionMax="47" xr10:uidLastSave="{00000000-0000-0000-0000-000000000000}"/>
  <bookViews>
    <workbookView xWindow="12710" yWindow="0" windowWidth="12980" windowHeight="15370" firstSheet="7" activeTab="7" xr2:uid="{389A4FBA-6D60-4A09-A3C4-7908ECC83B94}"/>
  </bookViews>
  <sheets>
    <sheet name="Pensionados" sheetId="11" r:id="rId1"/>
    <sheet name="Empleados activos" sheetId="12" r:id="rId2"/>
    <sheet name="Primas por edad y sexo" sheetId="15" r:id="rId3"/>
    <sheet name="Hombres" sheetId="14" r:id="rId4"/>
    <sheet name="Mujeres" sheetId="9" r:id="rId5"/>
    <sheet name="Pro Empleados Activos" sheetId="16" r:id="rId6"/>
    <sheet name="Muertes Activos" sheetId="17" r:id="rId7"/>
    <sheet name="ProPensionados(b)" sheetId="18" r:id="rId8"/>
    <sheet name="MuertesPensionados(d)" sheetId="19" r:id="rId9"/>
  </sheets>
  <functionGroups builtInGroupCount="19"/>
  <definedNames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9" l="1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2" i="19"/>
  <c r="C94" i="19" a="1"/>
  <c r="C95" i="19" a="1"/>
  <c r="C96" i="19" a="1"/>
  <c r="C84" i="19" a="1"/>
  <c r="C85" i="19" a="1"/>
  <c r="C86" i="19" a="1"/>
  <c r="C87" i="19" a="1"/>
  <c r="C88" i="19" a="1"/>
  <c r="C89" i="19" a="1"/>
  <c r="C90" i="19" a="1"/>
  <c r="C91" i="19" a="1"/>
  <c r="C92" i="19" a="1"/>
  <c r="C93" i="19" a="1"/>
  <c r="C75" i="19" a="1"/>
  <c r="C76" i="19" a="1"/>
  <c r="C77" i="19" a="1"/>
  <c r="C78" i="19" a="1"/>
  <c r="C79" i="19" a="1"/>
  <c r="C80" i="19" a="1"/>
  <c r="C81" i="19" a="1"/>
  <c r="C82" i="19" a="1"/>
  <c r="C83" i="19" a="1"/>
  <c r="C63" i="19" a="1"/>
  <c r="C64" i="19" a="1"/>
  <c r="C65" i="19" a="1"/>
  <c r="C66" i="19" a="1"/>
  <c r="C67" i="19" a="1"/>
  <c r="C68" i="19" a="1"/>
  <c r="C69" i="19" a="1"/>
  <c r="C70" i="19" a="1"/>
  <c r="C71" i="19" a="1"/>
  <c r="C72" i="19" a="1"/>
  <c r="C73" i="19" a="1"/>
  <c r="C74" i="19" a="1"/>
  <c r="C42" i="19" a="1"/>
  <c r="C43" i="19" a="1"/>
  <c r="C44" i="19" a="1"/>
  <c r="C45" i="19" a="1"/>
  <c r="C46" i="19" a="1"/>
  <c r="C47" i="19" a="1"/>
  <c r="C48" i="19" a="1"/>
  <c r="C49" i="19" a="1"/>
  <c r="C50" i="19" a="1"/>
  <c r="C51" i="19" a="1"/>
  <c r="C52" i="19" a="1"/>
  <c r="C53" i="19" a="1"/>
  <c r="C54" i="19" a="1"/>
  <c r="C55" i="19" a="1"/>
  <c r="C56" i="19" a="1"/>
  <c r="C57" i="19" a="1"/>
  <c r="C58" i="19" a="1"/>
  <c r="C59" i="19" a="1"/>
  <c r="C60" i="19" a="1"/>
  <c r="C61" i="19" a="1"/>
  <c r="C62" i="19" a="1"/>
  <c r="C33" i="19" a="1"/>
  <c r="C34" i="19" a="1"/>
  <c r="C35" i="19" a="1"/>
  <c r="C36" i="19" a="1"/>
  <c r="C37" i="19" a="1"/>
  <c r="C38" i="19" a="1"/>
  <c r="C39" i="19" a="1"/>
  <c r="C40" i="19" a="1"/>
  <c r="C41" i="19" a="1"/>
  <c r="C3" i="19" a="1"/>
  <c r="C4" i="19" a="1"/>
  <c r="C5" i="19" a="1"/>
  <c r="C6" i="19" a="1"/>
  <c r="C7" i="19" a="1"/>
  <c r="C8" i="19" a="1"/>
  <c r="C9" i="19" a="1"/>
  <c r="C10" i="19" a="1"/>
  <c r="C11" i="19" a="1"/>
  <c r="C12" i="19" a="1"/>
  <c r="C13" i="19" a="1"/>
  <c r="C14" i="19" a="1"/>
  <c r="C15" i="19" a="1"/>
  <c r="C16" i="19" a="1"/>
  <c r="C17" i="19" a="1"/>
  <c r="C18" i="19" a="1"/>
  <c r="C19" i="19" a="1"/>
  <c r="C20" i="19" a="1"/>
  <c r="C21" i="19" a="1"/>
  <c r="C22" i="19" a="1"/>
  <c r="C23" i="19" a="1"/>
  <c r="C24" i="19" a="1"/>
  <c r="C25" i="19" a="1"/>
  <c r="C26" i="19" a="1"/>
  <c r="C27" i="19" a="1"/>
  <c r="C28" i="19" a="1"/>
  <c r="C29" i="19" a="1"/>
  <c r="C30" i="19" a="1"/>
  <c r="C31" i="19" a="1"/>
  <c r="C32" i="19" a="1"/>
  <c r="C2" i="19" a="1"/>
  <c r="B2" i="19" a="1"/>
  <c r="B3" i="19" a="1"/>
  <c r="B91" i="19" a="1"/>
  <c r="B92" i="19" a="1"/>
  <c r="B93" i="19" a="1"/>
  <c r="B94" i="19" a="1"/>
  <c r="B95" i="19" a="1"/>
  <c r="B96" i="19" a="1"/>
  <c r="B72" i="19" a="1"/>
  <c r="B73" i="19" a="1"/>
  <c r="B74" i="19" a="1"/>
  <c r="B75" i="19" a="1"/>
  <c r="B76" i="19" a="1"/>
  <c r="B77" i="19" a="1"/>
  <c r="B78" i="19" a="1"/>
  <c r="B79" i="19" a="1"/>
  <c r="B80" i="19" a="1"/>
  <c r="B81" i="19" a="1"/>
  <c r="B82" i="19" a="1"/>
  <c r="B83" i="19" a="1"/>
  <c r="B84" i="19" a="1"/>
  <c r="B85" i="19" a="1"/>
  <c r="B86" i="19" a="1"/>
  <c r="B87" i="19" a="1"/>
  <c r="B88" i="19" a="1"/>
  <c r="B89" i="19" a="1"/>
  <c r="B90" i="19" a="1"/>
  <c r="B59" i="19" a="1"/>
  <c r="B60" i="19" a="1"/>
  <c r="B61" i="19" a="1"/>
  <c r="B62" i="19" a="1"/>
  <c r="B63" i="19" a="1"/>
  <c r="B64" i="19" a="1"/>
  <c r="B65" i="19" a="1"/>
  <c r="B66" i="19" a="1"/>
  <c r="B67" i="19" a="1"/>
  <c r="B68" i="19" a="1"/>
  <c r="B69" i="19" a="1"/>
  <c r="B70" i="19" a="1"/>
  <c r="B71" i="19" a="1"/>
  <c r="B44" i="19" a="1"/>
  <c r="B45" i="19" a="1"/>
  <c r="B46" i="19" a="1"/>
  <c r="B47" i="19" a="1"/>
  <c r="B48" i="19" a="1"/>
  <c r="B49" i="19" a="1"/>
  <c r="B50" i="19" a="1"/>
  <c r="B51" i="19" a="1"/>
  <c r="B52" i="19" a="1"/>
  <c r="B53" i="19" a="1"/>
  <c r="B54" i="19" a="1"/>
  <c r="B55" i="19" a="1"/>
  <c r="B56" i="19" a="1"/>
  <c r="B57" i="19" a="1"/>
  <c r="B58" i="19" a="1"/>
  <c r="B30" i="19" a="1"/>
  <c r="B31" i="19" a="1"/>
  <c r="B32" i="19" a="1"/>
  <c r="B33" i="19" a="1"/>
  <c r="B34" i="19" a="1"/>
  <c r="B35" i="19" a="1"/>
  <c r="B36" i="19" a="1"/>
  <c r="B37" i="19" a="1"/>
  <c r="B38" i="19" a="1"/>
  <c r="B39" i="19" a="1"/>
  <c r="B40" i="19" a="1"/>
  <c r="B41" i="19" a="1"/>
  <c r="B42" i="19" a="1"/>
  <c r="B43" i="19" a="1"/>
  <c r="B4" i="19" a="1"/>
  <c r="B5" i="19" a="1"/>
  <c r="B6" i="19" a="1"/>
  <c r="B7" i="19" a="1"/>
  <c r="B8" i="19" a="1"/>
  <c r="B9" i="19" a="1"/>
  <c r="B10" i="19" a="1"/>
  <c r="B11" i="19" a="1"/>
  <c r="B12" i="19" a="1"/>
  <c r="B13" i="19" a="1"/>
  <c r="B14" i="19" a="1"/>
  <c r="B15" i="19" a="1"/>
  <c r="B16" i="19" a="1"/>
  <c r="B17" i="19" a="1"/>
  <c r="B18" i="19" a="1"/>
  <c r="B19" i="19" a="1"/>
  <c r="B20" i="19" a="1"/>
  <c r="B21" i="19" a="1"/>
  <c r="B22" i="19" a="1"/>
  <c r="B23" i="19" a="1"/>
  <c r="B24" i="19" a="1"/>
  <c r="B25" i="19" a="1"/>
  <c r="B26" i="19" a="1"/>
  <c r="B27" i="19" a="1"/>
  <c r="B28" i="19" a="1"/>
  <c r="B29" i="19" a="1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3" i="19"/>
  <c r="C20" i="18" a="1"/>
  <c r="C3" i="18" a="1"/>
  <c r="C4" i="18" a="1"/>
  <c r="C5" i="18" a="1"/>
  <c r="C6" i="18" a="1"/>
  <c r="C7" i="18" a="1"/>
  <c r="C8" i="18" a="1"/>
  <c r="C9" i="18" a="1"/>
  <c r="C10" i="18" a="1"/>
  <c r="C11" i="18" a="1"/>
  <c r="C12" i="18" a="1"/>
  <c r="C13" i="18" a="1"/>
  <c r="C14" i="18" a="1"/>
  <c r="C15" i="18" a="1"/>
  <c r="C16" i="18" a="1"/>
  <c r="C17" i="18" a="1"/>
  <c r="C18" i="18" a="1"/>
  <c r="C19" i="18" a="1"/>
  <c r="C21" i="18" a="1"/>
  <c r="C22" i="18" a="1"/>
  <c r="C23" i="18" a="1"/>
  <c r="C24" i="18" a="1"/>
  <c r="C25" i="18" a="1"/>
  <c r="C26" i="18" a="1"/>
  <c r="C27" i="18" a="1"/>
  <c r="C28" i="18" a="1"/>
  <c r="C29" i="18" a="1"/>
  <c r="C30" i="18" a="1"/>
  <c r="C31" i="18" a="1"/>
  <c r="C32" i="18" a="1"/>
  <c r="C33" i="18" a="1"/>
  <c r="C34" i="18" a="1"/>
  <c r="C35" i="18" a="1"/>
  <c r="C36" i="18" a="1"/>
  <c r="C37" i="18" a="1"/>
  <c r="C38" i="18" a="1"/>
  <c r="C39" i="18" a="1"/>
  <c r="C40" i="18" a="1"/>
  <c r="C41" i="18" a="1"/>
  <c r="C42" i="18" a="1"/>
  <c r="C43" i="18" a="1"/>
  <c r="C44" i="18" a="1"/>
  <c r="C45" i="18" a="1"/>
  <c r="C46" i="18" a="1"/>
  <c r="C47" i="18" a="1"/>
  <c r="C48" i="18" a="1"/>
  <c r="C49" i="18" a="1"/>
  <c r="C50" i="18" a="1"/>
  <c r="C51" i="18" a="1"/>
  <c r="C52" i="18" a="1"/>
  <c r="C53" i="18" a="1"/>
  <c r="C54" i="18" a="1"/>
  <c r="C55" i="18" a="1"/>
  <c r="C56" i="18" a="1"/>
  <c r="C57" i="18" a="1"/>
  <c r="C58" i="18" a="1"/>
  <c r="C59" i="18" a="1"/>
  <c r="C60" i="18" a="1"/>
  <c r="C61" i="18" a="1"/>
  <c r="C62" i="18" a="1"/>
  <c r="C63" i="18" a="1"/>
  <c r="C64" i="18" a="1"/>
  <c r="C65" i="18" a="1"/>
  <c r="C66" i="18" a="1"/>
  <c r="C67" i="18" a="1"/>
  <c r="C68" i="18" a="1"/>
  <c r="C69" i="18" a="1"/>
  <c r="C70" i="18" a="1"/>
  <c r="C71" i="18" a="1"/>
  <c r="C72" i="18" a="1"/>
  <c r="C73" i="18" a="1"/>
  <c r="C74" i="18" a="1"/>
  <c r="C75" i="18" a="1"/>
  <c r="C76" i="18" a="1"/>
  <c r="C77" i="18" a="1"/>
  <c r="C78" i="18" a="1"/>
  <c r="C79" i="18" a="1"/>
  <c r="C80" i="18" a="1"/>
  <c r="C81" i="18" a="1"/>
  <c r="C82" i="18" a="1"/>
  <c r="C83" i="18" a="1"/>
  <c r="C84" i="18" a="1"/>
  <c r="C85" i="18" a="1"/>
  <c r="C86" i="18" a="1"/>
  <c r="C87" i="18" a="1"/>
  <c r="C88" i="18" a="1"/>
  <c r="C89" i="18" a="1"/>
  <c r="C90" i="18" a="1"/>
  <c r="C91" i="18" a="1"/>
  <c r="C92" i="18" a="1"/>
  <c r="C93" i="18" a="1"/>
  <c r="C94" i="18" a="1"/>
  <c r="C95" i="18" a="1"/>
  <c r="C96" i="18" a="1"/>
  <c r="C2" i="18" a="1"/>
  <c r="B2" i="18" a="1"/>
  <c r="B95" i="18" a="1"/>
  <c r="B96" i="18" a="1"/>
  <c r="A96" i="18"/>
  <c r="B93" i="18" a="1"/>
  <c r="B94" i="18" a="1"/>
  <c r="B88" i="18" a="1"/>
  <c r="B89" i="18" a="1"/>
  <c r="B90" i="18" a="1"/>
  <c r="B91" i="18" a="1"/>
  <c r="B92" i="18" a="1"/>
  <c r="B77" i="18" a="1"/>
  <c r="B78" i="18" a="1"/>
  <c r="B79" i="18" a="1"/>
  <c r="B80" i="18" a="1"/>
  <c r="B81" i="18" a="1"/>
  <c r="B82" i="18" a="1"/>
  <c r="B83" i="18" a="1"/>
  <c r="B84" i="18" a="1"/>
  <c r="B85" i="18" a="1"/>
  <c r="B86" i="18" a="1"/>
  <c r="B87" i="18" a="1"/>
  <c r="B70" i="18" a="1"/>
  <c r="B71" i="18" a="1"/>
  <c r="B72" i="18" a="1"/>
  <c r="B73" i="18" a="1"/>
  <c r="B74" i="18" a="1"/>
  <c r="B75" i="18" a="1"/>
  <c r="B76" i="18" a="1"/>
  <c r="B58" i="18" a="1"/>
  <c r="B59" i="18" a="1"/>
  <c r="B60" i="18" a="1"/>
  <c r="B61" i="18" a="1"/>
  <c r="B62" i="18" a="1"/>
  <c r="B63" i="18" a="1"/>
  <c r="B64" i="18" a="1"/>
  <c r="B65" i="18" a="1"/>
  <c r="B66" i="18" a="1"/>
  <c r="B67" i="18" a="1"/>
  <c r="B68" i="18" a="1"/>
  <c r="B69" i="18" a="1"/>
  <c r="B38" i="18" a="1"/>
  <c r="B39" i="18" a="1"/>
  <c r="B40" i="18" a="1"/>
  <c r="B41" i="18" a="1"/>
  <c r="B42" i="18" a="1"/>
  <c r="B43" i="18" a="1"/>
  <c r="B44" i="18" a="1"/>
  <c r="B45" i="18" a="1"/>
  <c r="B46" i="18" a="1"/>
  <c r="B47" i="18" a="1"/>
  <c r="B48" i="18" a="1"/>
  <c r="B49" i="18" a="1"/>
  <c r="B50" i="18" a="1"/>
  <c r="B51" i="18" a="1"/>
  <c r="B52" i="18" a="1"/>
  <c r="B53" i="18" a="1"/>
  <c r="B54" i="18" a="1"/>
  <c r="B55" i="18" a="1"/>
  <c r="B56" i="18" a="1"/>
  <c r="B57" i="18" a="1"/>
  <c r="A38" i="18"/>
  <c r="A39" i="18"/>
  <c r="A40" i="18"/>
  <c r="A41" i="18"/>
  <c r="A42" i="18"/>
  <c r="A43" i="18"/>
  <c r="A44" i="18"/>
  <c r="A45" i="18"/>
  <c r="A46" i="18"/>
  <c r="A47" i="18"/>
  <c r="A48" i="18"/>
  <c r="A49" i="18"/>
  <c r="B3" i="18" a="1"/>
  <c r="B4" i="18" a="1"/>
  <c r="B5" i="18" a="1"/>
  <c r="B6" i="18" a="1"/>
  <c r="B7" i="18" a="1"/>
  <c r="B8" i="18" a="1"/>
  <c r="B9" i="18" a="1"/>
  <c r="B10" i="18" a="1"/>
  <c r="B11" i="18" a="1"/>
  <c r="B12" i="18" a="1"/>
  <c r="B13" i="18" a="1"/>
  <c r="B14" i="18" a="1"/>
  <c r="B15" i="18" a="1"/>
  <c r="B16" i="18" a="1"/>
  <c r="B17" i="18" a="1"/>
  <c r="B18" i="18" a="1"/>
  <c r="B19" i="18" a="1"/>
  <c r="B20" i="18" a="1"/>
  <c r="B21" i="18" a="1"/>
  <c r="B22" i="18" a="1"/>
  <c r="B23" i="18" a="1"/>
  <c r="B24" i="18" a="1"/>
  <c r="B25" i="18" a="1"/>
  <c r="B26" i="18" a="1"/>
  <c r="B27" i="18" a="1"/>
  <c r="B28" i="18" a="1"/>
  <c r="B29" i="18" a="1"/>
  <c r="B30" i="18" a="1"/>
  <c r="B31" i="18" a="1"/>
  <c r="B32" i="18" a="1"/>
  <c r="B33" i="18" a="1"/>
  <c r="B34" i="18" a="1"/>
  <c r="B35" i="18" a="1"/>
  <c r="B36" i="18" a="1"/>
  <c r="B37" i="18" a="1"/>
  <c r="A37" i="18"/>
  <c r="A21" i="18"/>
  <c r="A22" i="18"/>
  <c r="A23" i="18"/>
  <c r="A24" i="18"/>
  <c r="A25" i="18"/>
  <c r="A26" i="18"/>
  <c r="A27" i="18"/>
  <c r="A28" i="18"/>
  <c r="A29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3" i="18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C3" i="17" a="1"/>
  <c r="C11" i="17" a="1"/>
  <c r="C19" i="17" a="1"/>
  <c r="C27" i="17" a="1"/>
  <c r="C35" i="17" a="1"/>
  <c r="C43" i="17" a="1"/>
  <c r="C4" i="17" a="1"/>
  <c r="C12" i="17" a="1"/>
  <c r="C20" i="17" a="1"/>
  <c r="C28" i="17" a="1"/>
  <c r="C36" i="17" a="1"/>
  <c r="C44" i="17" a="1"/>
  <c r="C13" i="17" a="1"/>
  <c r="C21" i="17" a="1"/>
  <c r="C29" i="17" a="1"/>
  <c r="C37" i="17" a="1"/>
  <c r="C45" i="17" a="1"/>
  <c r="C6" i="17" a="1"/>
  <c r="C14" i="17" a="1"/>
  <c r="C22" i="17" a="1"/>
  <c r="C30" i="17" a="1"/>
  <c r="C38" i="17" a="1"/>
  <c r="C46" i="17" a="1"/>
  <c r="C7" i="17" a="1"/>
  <c r="C15" i="17" a="1"/>
  <c r="C23" i="17" a="1"/>
  <c r="C31" i="17" a="1"/>
  <c r="C39" i="17" a="1"/>
  <c r="C16" i="17" a="1"/>
  <c r="C32" i="17" a="1"/>
  <c r="C17" i="17" a="1"/>
  <c r="C33" i="17" a="1"/>
  <c r="C18" i="17" a="1"/>
  <c r="C26" i="17" a="1"/>
  <c r="C42" i="17" a="1"/>
  <c r="C5" i="17" a="1"/>
  <c r="C8" i="17" a="1"/>
  <c r="C24" i="17" a="1"/>
  <c r="C40" i="17" a="1"/>
  <c r="C9" i="17" a="1"/>
  <c r="C25" i="17" a="1"/>
  <c r="C41" i="17" a="1"/>
  <c r="C10" i="17" a="1"/>
  <c r="C34" i="17" a="1"/>
  <c r="B3" i="17" a="1"/>
  <c r="B11" i="17" a="1"/>
  <c r="B19" i="17" a="1"/>
  <c r="B27" i="17" a="1"/>
  <c r="B35" i="17" a="1"/>
  <c r="B43" i="17" a="1"/>
  <c r="B4" i="17" a="1"/>
  <c r="B12" i="17" a="1"/>
  <c r="B20" i="17" a="1"/>
  <c r="B28" i="17" a="1"/>
  <c r="B36" i="17" a="1"/>
  <c r="B44" i="17" a="1"/>
  <c r="B5" i="17" a="1"/>
  <c r="B13" i="17" a="1"/>
  <c r="B21" i="17" a="1"/>
  <c r="B29" i="17" a="1"/>
  <c r="B37" i="17" a="1"/>
  <c r="B45" i="17" a="1"/>
  <c r="B6" i="17" a="1"/>
  <c r="B14" i="17" a="1"/>
  <c r="B22" i="17" a="1"/>
  <c r="B30" i="17" a="1"/>
  <c r="B38" i="17" a="1"/>
  <c r="B46" i="17" a="1"/>
  <c r="B7" i="17" a="1"/>
  <c r="B15" i="17" a="1"/>
  <c r="B23" i="17" a="1"/>
  <c r="B31" i="17" a="1"/>
  <c r="B39" i="17" a="1"/>
  <c r="B8" i="17" a="1"/>
  <c r="B16" i="17" a="1"/>
  <c r="B24" i="17" a="1"/>
  <c r="B40" i="17" a="1"/>
  <c r="B9" i="17" a="1"/>
  <c r="B17" i="17" a="1"/>
  <c r="B25" i="17" a="1"/>
  <c r="B33" i="17" a="1"/>
  <c r="B41" i="17" a="1"/>
  <c r="B10" i="17" a="1"/>
  <c r="B18" i="17" a="1"/>
  <c r="B26" i="17" a="1"/>
  <c r="B42" i="17" a="1"/>
  <c r="B32" i="17" a="1"/>
  <c r="B34" i="17" a="1"/>
  <c r="C2" i="17" a="1"/>
  <c r="B2" i="17" a="1"/>
  <c r="C3" i="16" a="1"/>
  <c r="C11" i="16" a="1"/>
  <c r="C19" i="16" a="1"/>
  <c r="C27" i="16" a="1"/>
  <c r="C35" i="16" a="1"/>
  <c r="C43" i="16" a="1"/>
  <c r="C25" i="16" a="1"/>
  <c r="C26" i="16" a="1"/>
  <c r="C12" i="16" a="1"/>
  <c r="C20" i="16" a="1"/>
  <c r="C36" i="16" a="1"/>
  <c r="C5" i="16" a="1"/>
  <c r="C37" i="16" a="1"/>
  <c r="C45" i="16" a="1"/>
  <c r="C14" i="16" a="1"/>
  <c r="C30" i="16" a="1"/>
  <c r="C46" i="16" a="1"/>
  <c r="C7" i="16" a="1"/>
  <c r="C23" i="16" a="1"/>
  <c r="C39" i="16" a="1"/>
  <c r="C16" i="16" a="1"/>
  <c r="C40" i="16" a="1"/>
  <c r="C9" i="16" a="1"/>
  <c r="C33" i="16" a="1"/>
  <c r="C18" i="16" a="1"/>
  <c r="C42" i="16" a="1"/>
  <c r="C4" i="16" a="1"/>
  <c r="C28" i="16" a="1"/>
  <c r="C44" i="16" a="1"/>
  <c r="C13" i="16" a="1"/>
  <c r="C29" i="16" a="1"/>
  <c r="C6" i="16" a="1"/>
  <c r="C22" i="16" a="1"/>
  <c r="C38" i="16" a="1"/>
  <c r="C15" i="16" a="1"/>
  <c r="C31" i="16" a="1"/>
  <c r="C8" i="16" a="1"/>
  <c r="C32" i="16" a="1"/>
  <c r="C17" i="16" a="1"/>
  <c r="C41" i="16" a="1"/>
  <c r="C10" i="16" a="1"/>
  <c r="C34" i="16" a="1"/>
  <c r="C21" i="16" a="1"/>
  <c r="C24" i="16" a="1"/>
  <c r="C2" i="16" a="1"/>
  <c r="B26" i="16" a="1"/>
  <c r="B34" i="16" a="1"/>
  <c r="B42" i="16" a="1"/>
  <c r="B27" i="16" a="1"/>
  <c r="B35" i="16" a="1"/>
  <c r="B43" i="16" a="1"/>
  <c r="B28" i="16" a="1"/>
  <c r="B36" i="16" a="1"/>
  <c r="B44" i="16" a="1"/>
  <c r="B29" i="16" a="1"/>
  <c r="B37" i="16" a="1"/>
  <c r="B45" i="16" a="1"/>
  <c r="B30" i="16" a="1"/>
  <c r="B38" i="16" a="1"/>
  <c r="B46" i="16" a="1"/>
  <c r="B31" i="16" a="1"/>
  <c r="B39" i="16" a="1"/>
  <c r="B32" i="16" a="1"/>
  <c r="B40" i="16" a="1"/>
  <c r="B33" i="16" a="1"/>
  <c r="B41" i="16" a="1"/>
  <c r="B3" i="16" a="1"/>
  <c r="B11" i="16" a="1"/>
  <c r="B19" i="16" a="1"/>
  <c r="B4" i="16" a="1"/>
  <c r="B12" i="16" a="1"/>
  <c r="B20" i="16" a="1"/>
  <c r="B5" i="16" a="1"/>
  <c r="B13" i="16" a="1"/>
  <c r="B21" i="16" a="1"/>
  <c r="B6" i="16" a="1"/>
  <c r="B14" i="16" a="1"/>
  <c r="B22" i="16" a="1"/>
  <c r="B7" i="16" a="1"/>
  <c r="B15" i="16" a="1"/>
  <c r="B23" i="16" a="1"/>
  <c r="B8" i="16" a="1"/>
  <c r="B16" i="16" a="1"/>
  <c r="B24" i="16" a="1"/>
  <c r="B9" i="16" a="1"/>
  <c r="B17" i="16" a="1"/>
  <c r="B25" i="16" a="1"/>
  <c r="B10" i="16" a="1"/>
  <c r="B18" i="16" a="1"/>
  <c r="B2" i="16" a="1"/>
  <c r="D8" i="17" s="1"/>
  <c r="D6" i="17" s="1"/>
  <c r="D29" i="17" s="1"/>
  <c r="D21" i="17" s="1"/>
  <c r="D44" i="17" s="1"/>
  <c r="D4" i="17" s="1"/>
  <c r="D27" i="17" s="1"/>
  <c r="D26" i="17" s="1"/>
  <c r="D18" i="17" s="1"/>
  <c r="D24" i="17" s="1"/>
  <c r="D23" i="17" s="1"/>
  <c r="D15" i="17" s="1"/>
  <c r="D7" i="17" s="1"/>
  <c r="D46" i="17" s="1"/>
  <c r="D5" i="17" s="1"/>
  <c r="D36" i="17" s="1"/>
  <c r="D20" i="17" s="1"/>
  <c r="D12" i="17" s="1"/>
  <c r="D2" i="17" s="1"/>
  <c r="D4" i="18" l="1"/>
  <c r="D5" i="18"/>
  <c r="D6" i="18"/>
  <c r="D7" i="18"/>
  <c r="D9" i="18"/>
  <c r="D10" i="18"/>
  <c r="D12" i="18"/>
  <c r="D14" i="18"/>
  <c r="D15" i="18"/>
  <c r="D16" i="18"/>
  <c r="D18" i="18"/>
  <c r="D19" i="18"/>
  <c r="D21" i="18"/>
  <c r="D23" i="18"/>
  <c r="D24" i="18"/>
  <c r="D26" i="18"/>
  <c r="D28" i="18"/>
  <c r="D29" i="18"/>
  <c r="D31" i="18"/>
  <c r="D34" i="18"/>
  <c r="D37" i="18"/>
  <c r="D39" i="18"/>
  <c r="D42" i="18"/>
  <c r="D43" i="18"/>
  <c r="D45" i="18"/>
  <c r="D47" i="18"/>
  <c r="D49" i="18"/>
  <c r="D51" i="18"/>
  <c r="D52" i="18"/>
  <c r="D54" i="18"/>
  <c r="D56" i="18"/>
  <c r="D57" i="18"/>
  <c r="D59" i="18"/>
  <c r="D61" i="18"/>
  <c r="D62" i="18"/>
  <c r="D64" i="18"/>
  <c r="D65" i="18"/>
  <c r="D67" i="18"/>
  <c r="D70" i="18"/>
  <c r="D71" i="18"/>
  <c r="D73" i="18"/>
  <c r="D75" i="18"/>
  <c r="D77" i="18"/>
  <c r="D78" i="18"/>
  <c r="D81" i="18"/>
  <c r="D85" i="18"/>
  <c r="D87" i="18"/>
  <c r="D89" i="18"/>
  <c r="D91" i="18"/>
  <c r="D93" i="18"/>
  <c r="D95" i="18"/>
  <c r="D2" i="18"/>
  <c r="D3" i="18"/>
  <c r="D8" i="18"/>
  <c r="D11" i="18"/>
  <c r="D13" i="18"/>
  <c r="D17" i="18"/>
  <c r="D20" i="18"/>
  <c r="D22" i="18"/>
  <c r="D25" i="18"/>
  <c r="D27" i="18"/>
  <c r="D30" i="18"/>
  <c r="D32" i="18"/>
  <c r="D33" i="18"/>
  <c r="D35" i="18"/>
  <c r="D36" i="18"/>
  <c r="D38" i="18"/>
  <c r="D40" i="18"/>
  <c r="D41" i="18"/>
  <c r="D44" i="18"/>
  <c r="D46" i="18"/>
  <c r="D48" i="18"/>
  <c r="D50" i="18"/>
  <c r="D53" i="18"/>
  <c r="D55" i="18"/>
  <c r="D58" i="18"/>
  <c r="D60" i="18"/>
  <c r="D63" i="18"/>
  <c r="D66" i="18"/>
  <c r="D68" i="18"/>
  <c r="D69" i="18"/>
  <c r="D72" i="18"/>
  <c r="D74" i="18"/>
  <c r="D76" i="18"/>
  <c r="D79" i="18"/>
  <c r="D80" i="18"/>
  <c r="D82" i="18"/>
  <c r="D83" i="18"/>
  <c r="D84" i="18"/>
  <c r="D86" i="18"/>
  <c r="D88" i="18"/>
  <c r="D90" i="18"/>
  <c r="D92" i="18"/>
  <c r="D94" i="18"/>
  <c r="D96" i="18"/>
  <c r="A25" i="19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/>
  <c r="A90" i="19" s="1"/>
  <c r="A91" i="19" s="1"/>
  <c r="A92" i="19" s="1"/>
  <c r="A93" i="19" s="1"/>
  <c r="A94" i="19" s="1"/>
  <c r="A95" i="19"/>
  <c r="A96" i="19" s="1"/>
  <c r="A50" i="18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/>
  <c r="A90" i="18" s="1"/>
  <c r="A91" i="18" s="1"/>
  <c r="A92" i="18" s="1"/>
  <c r="A30" i="18"/>
  <c r="A31" i="18" s="1"/>
  <c r="A32" i="18" s="1"/>
  <c r="A33" i="18" s="1"/>
  <c r="A34" i="18" s="1"/>
  <c r="A35" i="18" s="1"/>
  <c r="A36" i="18" s="1"/>
  <c r="D42" i="17"/>
  <c r="D10" i="17"/>
  <c r="D3" i="17"/>
  <c r="D11" i="17"/>
  <c r="D28" i="17"/>
  <c r="D40" i="17"/>
  <c r="D31" i="17"/>
  <c r="D38" i="17"/>
  <c r="D17" i="17"/>
  <c r="D41" i="17"/>
  <c r="D35" i="17"/>
  <c r="D43" i="17"/>
  <c r="D14" i="17"/>
  <c r="D22" i="17"/>
  <c r="D9" i="17"/>
  <c r="D33" i="17"/>
  <c r="D32" i="17"/>
  <c r="D34" i="17"/>
  <c r="D39" i="17"/>
  <c r="D13" i="17"/>
  <c r="D37" i="17"/>
  <c r="D45" i="17"/>
  <c r="D19" i="17"/>
  <c r="D30" i="17"/>
  <c r="D16" i="17"/>
  <c r="D25" i="17"/>
  <c r="D45" i="16"/>
  <c r="D16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6" i="16"/>
  <c r="A4" i="16"/>
  <c r="A5" i="16"/>
  <c r="A6" i="16" s="1"/>
  <c r="A7" i="16" s="1"/>
  <c r="A8" i="16" s="1"/>
  <c r="A9" i="16" s="1"/>
  <c r="A10" i="16" s="1"/>
  <c r="A11" i="16" s="1"/>
  <c r="A12" i="16"/>
  <c r="A13" i="16"/>
  <c r="A14" i="16"/>
  <c r="A15" i="16"/>
  <c r="A16" i="16"/>
  <c r="A17" i="16"/>
  <c r="A18" i="16"/>
  <c r="A19" i="16"/>
  <c r="A20" i="16"/>
  <c r="A21" i="16"/>
  <c r="A22" i="16" s="1"/>
  <c r="A23" i="16" s="1"/>
  <c r="A24" i="16" s="1"/>
  <c r="A25" i="16" s="1"/>
  <c r="A26" i="16" s="1"/>
  <c r="A27" i="16" s="1"/>
  <c r="A28" i="16"/>
  <c r="A29" i="16"/>
  <c r="A30" i="16"/>
  <c r="A31" i="16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3" i="16"/>
  <c r="H3" i="12"/>
  <c r="G112" i="12" a="1"/>
  <c r="G197" i="14" a="1"/>
  <c r="G208" i="14" a="1"/>
  <c r="G217" i="14" a="1"/>
  <c r="G42" i="12" a="1"/>
  <c r="F9" i="11" a="1"/>
  <c r="G21" i="12" a="1"/>
  <c r="G217" i="12" a="1"/>
  <c r="G139" i="12" a="1"/>
  <c r="G160" i="12" a="1"/>
  <c r="G162" i="12" a="1"/>
  <c r="F126" i="14" a="1"/>
  <c r="G128" i="14" a="1"/>
  <c r="G163" i="12" a="1"/>
  <c r="G30" i="12" a="1"/>
  <c r="G41" i="12" a="1"/>
  <c r="G135" i="12" a="1"/>
  <c r="F119" i="14" a="1"/>
  <c r="F37" i="11" a="1"/>
  <c r="F165" i="11" a="1"/>
  <c r="G165" i="12" a="1"/>
  <c r="F121" i="14" a="1"/>
  <c r="F16" i="11" a="1"/>
  <c r="F162" i="11" a="1"/>
  <c r="F145" i="11" a="1"/>
  <c r="G138" i="12" a="1"/>
  <c r="G156" i="14" a="1"/>
  <c r="G166" i="14" a="1"/>
  <c r="F143" i="11" a="1"/>
  <c r="F132" i="11" a="1"/>
  <c r="F166" i="11" a="1"/>
  <c r="F31" i="11" a="1"/>
  <c r="F122" i="14" a="1"/>
  <c r="F112" i="11" a="1"/>
  <c r="G53" i="12" a="1"/>
  <c r="G194" i="12" a="1"/>
  <c r="G167" i="14" a="1"/>
  <c r="G209" i="14" a="1"/>
  <c r="F135" i="14" a="1"/>
  <c r="F53" i="11" a="1"/>
  <c r="G121" i="14" a="1"/>
  <c r="F36" i="11" a="1"/>
  <c r="F42" i="11" a="1"/>
  <c r="G61" i="12" a="1"/>
  <c r="F163" i="11" a="1"/>
  <c r="G29" i="12" a="1"/>
  <c r="F115" i="11" a="1"/>
  <c r="F71" i="11" a="1"/>
  <c r="F160" i="11" a="1"/>
  <c r="G154" i="14" a="1"/>
  <c r="G159" i="12" a="1"/>
  <c r="G22" i="12" a="1"/>
  <c r="G119" i="12" a="1"/>
  <c r="G143" i="12" a="1"/>
  <c r="F33" i="11" a="1"/>
  <c r="G153" i="14" a="1"/>
  <c r="G208" i="12" a="1"/>
  <c r="F150" i="14" a="1"/>
  <c r="G78" i="12" a="1"/>
  <c r="G50" i="12" a="1"/>
  <c r="F61" i="11" a="1"/>
  <c r="G194" i="14" a="1"/>
  <c r="F48" i="11" a="1"/>
  <c r="F73" i="11" a="1"/>
  <c r="G74" i="12" a="1"/>
  <c r="G141" i="12" a="1"/>
  <c r="F137" i="11" a="1"/>
  <c r="G38" i="12" a="1"/>
  <c r="G151" i="12" a="1"/>
  <c r="F41" i="11" a="1"/>
  <c r="G170" i="14" a="1"/>
  <c r="G224" i="12" a="1"/>
  <c r="F158" i="14" a="1"/>
  <c r="G94" i="12" a="1"/>
  <c r="F151" i="14" a="1"/>
  <c r="F105" i="11" a="1"/>
  <c r="F18" i="11" a="1"/>
  <c r="G157" i="12" a="1"/>
  <c r="F113" i="11" a="1"/>
  <c r="G159" i="14" a="1"/>
  <c r="G175" i="12" a="1"/>
  <c r="G177" i="14" a="1"/>
  <c r="G101" i="12" a="1"/>
  <c r="F3" i="11" a="1"/>
  <c r="F77" i="11" a="1"/>
  <c r="F65" i="11" a="1"/>
  <c r="G181" i="12" a="1"/>
  <c r="F127" i="11" a="1"/>
  <c r="F161" i="14" a="1"/>
  <c r="F28" i="11" a="1"/>
  <c r="G171" i="14" a="1"/>
  <c r="F56" i="11" a="1"/>
  <c r="G175" i="14" a="1"/>
  <c r="G183" i="12" a="1"/>
  <c r="G70" i="12" a="1"/>
  <c r="G214" i="14" a="1"/>
  <c r="F139" i="14" a="1"/>
  <c r="F57" i="11" a="1"/>
  <c r="G202" i="14" a="1"/>
  <c r="G15" i="12" a="1"/>
  <c r="F11" i="11" a="1"/>
  <c r="G126" i="12" a="1"/>
  <c r="F120" i="14" a="1"/>
  <c r="G129" i="14" a="1"/>
  <c r="G213" i="12" a="1"/>
  <c r="G122" i="14" a="1"/>
  <c r="G128" i="12" a="1"/>
  <c r="G213" i="14" a="1"/>
  <c r="G224" i="14" a="1"/>
  <c r="G55" i="12" a="1"/>
  <c r="G79" i="12" a="1"/>
  <c r="F17" i="11" a="1"/>
  <c r="G37" i="12" a="1"/>
  <c r="G225" i="12" a="1"/>
  <c r="G155" i="12" a="1"/>
  <c r="G176" i="12" a="1"/>
  <c r="G178" i="12" a="1"/>
  <c r="F134" i="14" a="1"/>
  <c r="G149" i="14" a="1"/>
  <c r="G171" i="12" a="1"/>
  <c r="G46" i="12" a="1"/>
  <c r="G120" i="14" a="1"/>
  <c r="G155" i="14" a="1"/>
  <c r="F127" i="14" a="1"/>
  <c r="F45" i="11" a="1"/>
  <c r="F6" i="11" a="1"/>
  <c r="G197" i="12" a="1"/>
  <c r="F153" i="14" a="1"/>
  <c r="F26" i="11" a="1"/>
  <c r="F140" i="11" a="1"/>
  <c r="F165" i="14" a="1"/>
  <c r="F145" i="14" a="1"/>
  <c r="G220" i="14" a="1"/>
  <c r="G121" i="12" a="1"/>
  <c r="F153" i="11" a="1"/>
  <c r="F148" i="11" a="1"/>
  <c r="G151" i="14" a="1"/>
  <c r="F95" i="11" a="1"/>
  <c r="F55" i="11" a="1"/>
  <c r="F136" i="11" a="1"/>
  <c r="G138" i="14" a="1"/>
  <c r="G144" i="12" a="1"/>
  <c r="G6" i="12" a="1"/>
  <c r="G17" i="12" a="1"/>
  <c r="G87" i="12" a="1"/>
  <c r="G111" i="12" a="1"/>
  <c r="F25" i="11" a="1"/>
  <c r="G132" i="14" a="1"/>
  <c r="G140" i="14" a="1"/>
  <c r="G192" i="12" a="1"/>
  <c r="F142" i="14" a="1"/>
  <c r="G179" i="12" a="1"/>
  <c r="G62" i="12" a="1"/>
  <c r="G182" i="14" a="1"/>
  <c r="F14" i="11" a="1"/>
  <c r="F138" i="14" a="1"/>
  <c r="F156" i="11" a="1"/>
  <c r="F63" i="11" a="1"/>
  <c r="G202" i="12" a="1"/>
  <c r="G172" i="14" a="1"/>
  <c r="G33" i="12" a="1"/>
  <c r="G69" i="12" a="1"/>
  <c r="G163" i="14" a="1"/>
  <c r="G210" i="12" a="1"/>
  <c r="G183" i="14" a="1"/>
  <c r="G187" i="12" a="1"/>
  <c r="G23" i="12" a="1"/>
  <c r="F143" i="14" a="1"/>
  <c r="F22" i="11" a="1"/>
  <c r="F7" i="11" a="1"/>
  <c r="F164" i="11" a="1"/>
  <c r="F74" i="11" a="1"/>
  <c r="G125" i="12" a="1"/>
  <c r="F8" i="11" a="1"/>
  <c r="G93" i="12" a="1"/>
  <c r="F81" i="11" a="1"/>
  <c r="G142" i="14" a="1"/>
  <c r="G167" i="12" a="1"/>
  <c r="G49" i="12" a="1"/>
  <c r="F123" i="14" a="1"/>
  <c r="G85" i="12" a="1"/>
  <c r="G179" i="14" a="1"/>
  <c r="G158" i="14" a="1"/>
  <c r="G199" i="14" a="1"/>
  <c r="G195" i="12" a="1"/>
  <c r="G76" i="12" a="1"/>
  <c r="G84" i="12" a="1"/>
  <c r="F69" i="11" a="1"/>
  <c r="F30" i="11" a="1"/>
  <c r="G35" i="12" a="1"/>
  <c r="F39" i="11" a="1"/>
  <c r="F58" i="11" a="1"/>
  <c r="G13" i="12" a="1"/>
  <c r="F84" i="11" a="1"/>
  <c r="G173" i="12" a="1"/>
  <c r="F129" i="14" a="1"/>
  <c r="G3" i="12" a="1"/>
  <c r="F166" i="14" a="1"/>
  <c r="G54" i="12" a="1"/>
  <c r="G148" i="14" a="1"/>
  <c r="F131" i="14" a="1"/>
  <c r="F49" i="11" a="1"/>
  <c r="G186" i="14" a="1"/>
  <c r="G195" i="14" a="1"/>
  <c r="G174" i="14" a="1"/>
  <c r="G222" i="14" a="1"/>
  <c r="G215" i="14" a="1"/>
  <c r="G203" i="12" a="1"/>
  <c r="G110" i="12" a="1"/>
  <c r="G108" i="12" a="1"/>
  <c r="G116" i="12" a="1"/>
  <c r="F159" i="14" a="1"/>
  <c r="F38" i="11" a="1"/>
  <c r="G99" i="12" a="1"/>
  <c r="F68" i="11" a="1"/>
  <c r="F102" i="11" a="1"/>
  <c r="G205" i="12" a="1"/>
  <c r="G189" i="12" a="1"/>
  <c r="F135" i="11" a="1"/>
  <c r="G18" i="12" a="1"/>
  <c r="G117" i="12" a="1"/>
  <c r="G211" i="14" a="1"/>
  <c r="G58" i="12" a="1"/>
  <c r="G8" i="12" a="1"/>
  <c r="G211" i="12" a="1"/>
  <c r="G140" i="12" a="1"/>
  <c r="G148" i="12" a="1"/>
  <c r="F85" i="11" a="1"/>
  <c r="F46" i="11" a="1"/>
  <c r="F75" i="11" a="1"/>
  <c r="F80" i="11" a="1"/>
  <c r="F118" i="11" a="1"/>
  <c r="G64" i="12" a="1"/>
  <c r="G150" i="12" a="1"/>
  <c r="G132" i="12" a="1"/>
  <c r="G127" i="14" a="1"/>
  <c r="G201" i="12" a="1"/>
  <c r="G225" i="14" a="1"/>
  <c r="F125" i="14" a="1"/>
  <c r="G40" i="12" a="1"/>
  <c r="G14" i="12" a="1"/>
  <c r="G26" i="12" a="1"/>
  <c r="F160" i="14" a="1"/>
  <c r="F70" i="11" a="1"/>
  <c r="F87" i="11" a="1"/>
  <c r="F146" i="11" a="1"/>
  <c r="G147" i="12" a="1"/>
  <c r="G51" i="12" a="1"/>
  <c r="F121" i="11" a="1"/>
  <c r="F52" i="11" a="1"/>
  <c r="F120" i="11" a="1"/>
  <c r="F24" i="11" a="1"/>
  <c r="G184" i="12" a="1"/>
  <c r="F128" i="11" a="1"/>
  <c r="F116" i="11" a="1"/>
  <c r="F155" i="11" a="1"/>
  <c r="G207" i="14" a="1"/>
  <c r="G181" i="14" a="1"/>
  <c r="G204" i="12" a="1"/>
  <c r="F132" i="14" a="1"/>
  <c r="G4" i="12" a="1"/>
  <c r="G105" i="12" a="1"/>
  <c r="G157" i="14" a="1"/>
  <c r="G127" i="12" a="1"/>
  <c r="G206" i="14" a="1"/>
  <c r="F67" i="11" a="1"/>
  <c r="G86" i="12" a="1"/>
  <c r="G2" i="12" a="1"/>
  <c r="G196" i="12" a="1"/>
  <c r="F149" i="11" a="1"/>
  <c r="F114" i="11" a="1"/>
  <c r="F2" i="11" a="1"/>
  <c r="G7" i="12" a="1"/>
  <c r="F32" i="11" a="1"/>
  <c r="G16" i="12" a="1"/>
  <c r="G152" i="14" a="1"/>
  <c r="G177" i="12" a="1"/>
  <c r="G90" i="12" a="1"/>
  <c r="G189" i="14" a="1"/>
  <c r="F122" i="11" a="1"/>
  <c r="F89" i="11" a="1"/>
  <c r="G170" i="12" a="1"/>
  <c r="G118" i="12" a="1"/>
  <c r="G68" i="12" a="1"/>
  <c r="G185" i="12" a="1"/>
  <c r="G122" i="12" a="1"/>
  <c r="G146" i="14" a="1"/>
  <c r="G123" i="14" a="1"/>
  <c r="F144" i="14" a="1"/>
  <c r="G186" i="12" a="1"/>
  <c r="G139" i="14" a="1"/>
  <c r="F103" i="11" a="1"/>
  <c r="F130" i="14" a="1"/>
  <c r="G48" i="12" a="1"/>
  <c r="G134" i="12" a="1"/>
  <c r="F164" i="14" a="1"/>
  <c r="G161" i="14" a="1"/>
  <c r="G24" i="12" a="1"/>
  <c r="G31" i="12" a="1"/>
  <c r="G210" i="14" a="1"/>
  <c r="F10" i="11" a="1"/>
  <c r="F147" i="11" a="1"/>
  <c r="G80" i="12" a="1"/>
  <c r="G133" i="14" a="1"/>
  <c r="G158" i="12" a="1"/>
  <c r="G143" i="14" a="1"/>
  <c r="G209" i="12" a="1"/>
  <c r="G65" i="12" a="1"/>
  <c r="F133" i="14" a="1"/>
  <c r="G56" i="12" a="1"/>
  <c r="G142" i="12" a="1"/>
  <c r="G71" i="12" a="1"/>
  <c r="F5" i="11" a="1"/>
  <c r="F78" i="11" a="1"/>
  <c r="F97" i="11" a="1"/>
  <c r="F154" i="11" a="1"/>
  <c r="G187" i="14" a="1"/>
  <c r="G115" i="12" a="1"/>
  <c r="F131" i="11" a="1"/>
  <c r="F64" i="11" a="1"/>
  <c r="F152" i="11" a="1"/>
  <c r="F44" i="11" a="1"/>
  <c r="G96" i="12" a="1"/>
  <c r="G160" i="14" a="1"/>
  <c r="G174" i="12" a="1"/>
  <c r="G124" i="14" a="1"/>
  <c r="G218" i="14" a="1"/>
  <c r="G97" i="12" a="1"/>
  <c r="F141" i="14" a="1"/>
  <c r="G72" i="12" a="1"/>
  <c r="G126" i="14" a="1"/>
  <c r="G103" i="12" a="1"/>
  <c r="F13" i="11" a="1"/>
  <c r="F86" i="11" a="1"/>
  <c r="F107" i="11" a="1"/>
  <c r="G67" i="12" a="1"/>
  <c r="G168" i="12" a="1"/>
  <c r="G147" i="14" a="1"/>
  <c r="F40" i="11" a="1"/>
  <c r="F94" i="11" a="1"/>
  <c r="G135" i="14" a="1"/>
  <c r="F76" i="11" a="1"/>
  <c r="G191" i="12" a="1"/>
  <c r="G176" i="14" a="1"/>
  <c r="G190" i="12" a="1"/>
  <c r="G145" i="14" a="1"/>
  <c r="G11" i="12" a="1"/>
  <c r="G129" i="12" a="1"/>
  <c r="F149" i="14" a="1"/>
  <c r="G88" i="12" a="1"/>
  <c r="G144" i="14" a="1"/>
  <c r="G166" i="12" a="1"/>
  <c r="F21" i="11" a="1"/>
  <c r="G131" i="14" a="1"/>
  <c r="F119" i="11" a="1"/>
  <c r="G131" i="12" a="1"/>
  <c r="G57" i="12" a="1"/>
  <c r="G219" i="14" a="1"/>
  <c r="F50" i="11" a="1"/>
  <c r="F110" i="11" a="1"/>
  <c r="G77" i="12" a="1"/>
  <c r="F96" i="11" a="1"/>
  <c r="G199" i="12" a="1"/>
  <c r="G192" i="14" a="1"/>
  <c r="G206" i="12" a="1"/>
  <c r="G164" i="14" a="1"/>
  <c r="G27" i="12" a="1"/>
  <c r="G66" i="12" a="1"/>
  <c r="F157" i="14" a="1"/>
  <c r="G104" i="12" a="1"/>
  <c r="G168" i="14" a="1"/>
  <c r="G182" i="12" a="1"/>
  <c r="F29" i="11" a="1"/>
  <c r="G204" i="14" a="1"/>
  <c r="F129" i="11" a="1"/>
  <c r="G193" i="14" a="1"/>
  <c r="F159" i="11" a="1"/>
  <c r="G134" i="14" a="1"/>
  <c r="F60" i="11" a="1"/>
  <c r="F126" i="11" a="1"/>
  <c r="G162" i="14" a="1"/>
  <c r="G207" i="12" a="1"/>
  <c r="G60" i="12" a="1"/>
  <c r="G222" i="12" a="1"/>
  <c r="G180" i="14" a="1"/>
  <c r="G43" i="12" a="1"/>
  <c r="G98" i="12" a="1"/>
  <c r="F118" i="14" a="1"/>
  <c r="G120" i="12" a="1"/>
  <c r="G184" i="14" a="1"/>
  <c r="G198" i="12" a="1"/>
  <c r="F93" i="11" a="1"/>
  <c r="G45" i="12" a="1"/>
  <c r="F139" i="11" a="1"/>
  <c r="G216" i="12" a="1"/>
  <c r="F12" i="11" a="1"/>
  <c r="G113" i="12" a="1"/>
  <c r="F72" i="11" a="1"/>
  <c r="F150" i="11" a="1"/>
  <c r="G12" i="12" a="1"/>
  <c r="G215" i="12" a="1"/>
  <c r="G92" i="12" a="1"/>
  <c r="G201" i="14" a="1"/>
  <c r="G196" i="14" a="1"/>
  <c r="G59" i="12" a="1"/>
  <c r="G130" i="12" a="1"/>
  <c r="F19" i="11" a="1"/>
  <c r="G136" i="12" a="1"/>
  <c r="G200" i="14" a="1"/>
  <c r="G214" i="12" a="1"/>
  <c r="F101" i="11" a="1"/>
  <c r="G109" i="12" a="1"/>
  <c r="F151" i="11" a="1"/>
  <c r="G218" i="12" a="1"/>
  <c r="F34" i="11" a="1"/>
  <c r="G200" i="12" a="1"/>
  <c r="F82" i="11" a="1"/>
  <c r="G221" i="12" a="1"/>
  <c r="G145" i="12" a="1"/>
  <c r="G223" i="12" a="1"/>
  <c r="G124" i="12" a="1"/>
  <c r="F147" i="14" a="1"/>
  <c r="G212" i="14" a="1"/>
  <c r="G75" i="12" a="1"/>
  <c r="G141" i="14" a="1"/>
  <c r="F27" i="11" a="1"/>
  <c r="G152" i="12" a="1"/>
  <c r="G216" i="14" a="1"/>
  <c r="G169" i="14" a="1"/>
  <c r="F109" i="11" a="1"/>
  <c r="G203" i="14" a="1"/>
  <c r="F161" i="11" a="1"/>
  <c r="F137" i="14" a="1"/>
  <c r="F66" i="11" a="1"/>
  <c r="G47" i="12" a="1"/>
  <c r="F92" i="11" a="1"/>
  <c r="G178" i="14" a="1"/>
  <c r="G82" i="12" a="1"/>
  <c r="G125" i="14" a="1"/>
  <c r="G156" i="12" a="1"/>
  <c r="F155" i="14" a="1"/>
  <c r="G5" i="12" a="1"/>
  <c r="G91" i="12" a="1"/>
  <c r="G198" i="14" a="1"/>
  <c r="F35" i="11" a="1"/>
  <c r="G219" i="12" a="1"/>
  <c r="G9" i="12" a="1"/>
  <c r="G10" i="12" a="1"/>
  <c r="F117" i="11" a="1"/>
  <c r="G44" i="12" a="1"/>
  <c r="F4" i="11" a="1"/>
  <c r="F23" i="11" a="1"/>
  <c r="F88" i="11" a="1"/>
  <c r="F146" i="14" a="1"/>
  <c r="F100" i="11" a="1"/>
  <c r="G83" i="12" a="1"/>
  <c r="G153" i="12" a="1"/>
  <c r="G150" i="14" a="1"/>
  <c r="G172" i="12" a="1"/>
  <c r="F163" i="14" a="1"/>
  <c r="G133" i="12" a="1"/>
  <c r="G107" i="12" a="1"/>
  <c r="G39" i="12" a="1"/>
  <c r="F43" i="11" a="1"/>
  <c r="G118" i="14" a="1"/>
  <c r="G25" i="12" a="1"/>
  <c r="G63" i="12" a="1"/>
  <c r="F125" i="11" a="1"/>
  <c r="G81" i="12" a="1"/>
  <c r="F90" i="11" a="1"/>
  <c r="F91" i="11" a="1"/>
  <c r="F104" i="11" a="1"/>
  <c r="F15" i="11" a="1"/>
  <c r="F108" i="11" a="1"/>
  <c r="G28" i="12" a="1"/>
  <c r="G106" i="12" a="1"/>
  <c r="G191" i="14" a="1"/>
  <c r="G165" i="14" a="1"/>
  <c r="G188" i="12" a="1"/>
  <c r="F124" i="14" a="1"/>
  <c r="G149" i="12" a="1"/>
  <c r="G123" i="12" a="1"/>
  <c r="G73" i="12" a="1"/>
  <c r="F51" i="11" a="1"/>
  <c r="G136" i="14" a="1"/>
  <c r="G164" i="12" a="1"/>
  <c r="G95" i="12" a="1"/>
  <c r="F133" i="11" a="1"/>
  <c r="F98" i="11" a="1"/>
  <c r="F123" i="11" a="1"/>
  <c r="F47" i="11" a="1"/>
  <c r="G34" i="12" a="1"/>
  <c r="G161" i="12" a="1"/>
  <c r="F59" i="11" a="1"/>
  <c r="G180" i="12" a="1"/>
  <c r="F141" i="11" a="1"/>
  <c r="F106" i="11" a="1"/>
  <c r="F134" i="11" a="1"/>
  <c r="F144" i="11" a="1"/>
  <c r="F124" i="11" a="1"/>
  <c r="G137" i="14" a="1"/>
  <c r="F20" i="11" a="1"/>
  <c r="G223" i="14" a="1"/>
  <c r="G220" i="12" a="1"/>
  <c r="F140" i="14" a="1"/>
  <c r="G169" i="12" a="1"/>
  <c r="G20" i="12" a="1"/>
  <c r="G137" i="12" a="1"/>
  <c r="G173" i="14" a="1"/>
  <c r="F128" i="14" a="1"/>
  <c r="G146" i="12" a="1"/>
  <c r="F142" i="11" a="1"/>
  <c r="F79" i="11" a="1"/>
  <c r="G114" i="12" a="1"/>
  <c r="G102" i="12" a="1"/>
  <c r="F148" i="14" a="1"/>
  <c r="G36" i="12" a="1"/>
  <c r="G130" i="14" a="1"/>
  <c r="G212" i="12" a="1"/>
  <c r="F136" i="14" a="1"/>
  <c r="F157" i="11" a="1"/>
  <c r="G89" i="12" a="1"/>
  <c r="F158" i="11" a="1"/>
  <c r="G119" i="14" a="1"/>
  <c r="F154" i="14" a="1"/>
  <c r="G190" i="14" a="1"/>
  <c r="G32" i="12" a="1"/>
  <c r="F156" i="14" a="1"/>
  <c r="G52" i="12" a="1"/>
  <c r="G205" i="14" a="1"/>
  <c r="F54" i="11" a="1"/>
  <c r="F130" i="11" a="1"/>
  <c r="G188" i="14" a="1"/>
  <c r="F99" i="11" a="1"/>
  <c r="F83" i="11" a="1"/>
  <c r="G100" i="12" a="1"/>
  <c r="G193" i="12" a="1"/>
  <c r="G154" i="12" a="1"/>
  <c r="G221" i="14" a="1"/>
  <c r="G185" i="14" a="1"/>
  <c r="F152" i="14" a="1"/>
  <c r="F62" i="11" a="1"/>
  <c r="F138" i="11" a="1"/>
  <c r="G19" i="12" a="1"/>
  <c r="F111" i="11" a="1"/>
  <c r="F162" i="14" a="1"/>
  <c r="A93" i="18" l="1"/>
  <c r="A94" i="18" s="1"/>
  <c r="A95" i="18" s="1"/>
  <c r="D17" i="16"/>
  <c r="D10" i="16"/>
  <c r="D9" i="16"/>
  <c r="D8" i="16"/>
  <c r="D15" i="16"/>
  <c r="D7" i="16"/>
  <c r="D14" i="16"/>
  <c r="D13" i="16"/>
  <c r="D11" i="16"/>
  <c r="D3" i="16"/>
  <c r="D6" i="16"/>
  <c r="D5" i="16"/>
  <c r="D12" i="16"/>
  <c r="D4" i="16"/>
  <c r="D2" i="16"/>
  <c r="G3" i="11"/>
  <c r="B4" i="15" l="1" a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<sst xmlns="http://schemas.openxmlformats.org/spreadsheetml/2006/main" count="427" uniqueCount="23">
  <si>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</si>
  <si>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</si>
  <si>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</si>
  <si>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</si>
  <si>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</si>
  <si>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</si>
  <si>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</si>
  <si>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</si>
  <si>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</si>
  <si>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</si>
  <si>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Promedio Esperanza de vida</t>
  </si>
  <si>
    <t>Edad/Anio</t>
  </si>
  <si>
    <t>Esperanza de Vida Promedio</t>
  </si>
  <si>
    <t>Esperanza de Vida</t>
  </si>
  <si>
    <t>anio final: 2118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</si>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</sst>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5F9"/>
        <bgColor indexed="64"/>
      </patternFill>
    </fill>
    <fill>
      <patternFill patternType="solid">
        <fgColor rgb="FFDCD8FC"/>
        <bgColor indexed="64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16" fillId="33" borderId="0" xfId="0" applyFont="1" applyFill="1"/>
    <xf numFmtId="0" fontId="0" fillId="34" borderId="0" xfId="0" applyFill="1"/>
    <xf numFmtId="0" fontId="0" fillId="35" borderId="0" xfId="0" applyFill="1"/>
    <xf numFmtId="0" fontId="16" fillId="36" borderId="0" xfId="0" applyFont="1" applyFill="1"/>
    <xf numFmtId="164" fontId="18" fillId="37" borderId="0" xfId="42" applyNumberFormat="1" applyFont="1" applyFill="1" applyAlignment="1">
      <alignment horizontal="center" vertical="center"/>
    </xf>
    <xf numFmtId="164" fontId="18" fillId="37" borderId="0" xfId="0" applyNumberFormat="1" applyFont="1" applyFill="1" applyAlignment="1">
      <alignment horizontal="center" vertical="center"/>
    </xf>
    <xf numFmtId="164" fontId="18" fillId="37" borderId="0" xfId="43" applyNumberFormat="1" applyFont="1" applyFill="1" applyAlignment="1">
      <alignment horizontal="center" vertical="center"/>
    </xf>
    <xf numFmtId="164" fontId="18" fillId="37" borderId="0" xfId="0" applyNumberFormat="1" applyFont="1" applyFill="1" applyAlignment="1">
      <alignment horizontal="left" vertical="center"/>
    </xf>
    <xf numFmtId="165" fontId="19" fillId="38" borderId="10" xfId="0" applyNumberFormat="1" applyFont="1" applyFill="1" applyBorder="1" applyAlignment="1">
      <alignment horizontal="left" vertical="center"/>
    </xf>
    <xf numFmtId="165" fontId="19" fillId="38" borderId="10" xfId="43" applyNumberFormat="1" applyFont="1" applyFill="1" applyBorder="1" applyAlignment="1">
      <alignment horizontal="right" vertical="center"/>
    </xf>
    <xf numFmtId="165" fontId="19" fillId="38" borderId="10" xfId="0" applyNumberFormat="1" applyFont="1" applyFill="1" applyBorder="1" applyAlignment="1">
      <alignment horizontal="right" vertical="center"/>
    </xf>
    <xf numFmtId="0" fontId="18" fillId="37" borderId="0" xfId="43" applyNumberFormat="1" applyFont="1" applyFill="1" applyAlignment="1">
      <alignment horizontal="center" vertical="center"/>
    </xf>
    <xf numFmtId="14" fontId="19" fillId="38" borderId="10" xfId="43" applyNumberFormat="1" applyFont="1" applyFill="1" applyBorder="1" applyAlignment="1">
      <alignment horizontal="right" vertical="center"/>
    </xf>
    <xf numFmtId="165" fontId="19" fillId="38" borderId="10" xfId="42" applyNumberFormat="1" applyFont="1" applyFill="1" applyBorder="1" applyAlignment="1">
      <alignment horizontal="right" vertical="center"/>
    </xf>
    <xf numFmtId="165" fontId="19" fillId="38" borderId="11" xfId="0" applyNumberFormat="1" applyFont="1" applyFill="1" applyBorder="1" applyAlignment="1">
      <alignment horizontal="right" vertical="center"/>
    </xf>
    <xf numFmtId="14" fontId="18" fillId="37" borderId="0" xfId="0" applyNumberFormat="1" applyFont="1" applyFill="1" applyAlignment="1">
      <alignment horizontal="center" vertical="center"/>
    </xf>
    <xf numFmtId="14" fontId="19" fillId="38" borderId="10" xfId="0" applyNumberFormat="1" applyFont="1" applyFill="1" applyBorder="1" applyAlignment="1">
      <alignment horizontal="right" vertical="center"/>
    </xf>
    <xf numFmtId="14" fontId="19" fillId="38" borderId="11" xfId="0" applyNumberFormat="1" applyFont="1" applyFill="1" applyBorder="1" applyAlignment="1">
      <alignment horizontal="right" vertical="center"/>
    </xf>
    <xf numFmtId="165" fontId="19" fillId="38" borderId="11" xfId="42" applyNumberFormat="1" applyFont="1" applyFill="1" applyBorder="1" applyAlignment="1">
      <alignment horizontal="right" vertical="center"/>
    </xf>
    <xf numFmtId="0" fontId="0" fillId="39" borderId="0" xfId="0" applyFill="1"/>
    <xf numFmtId="0" fontId="20" fillId="0" borderId="0" xfId="0" applyFont="1"/>
    <xf numFmtId="14" fontId="18" fillId="37" borderId="0" xfId="0" applyNumberFormat="1" applyFont="1" applyFill="1" applyAlignment="1">
      <alignment vertical="center"/>
    </xf>
    <xf numFmtId="164" fontId="21" fillId="0" borderId="0" xfId="0" applyNumberFormat="1" applyFont="1" applyAlignment="1">
      <alignment horizontal="center" vertical="center"/>
    </xf>
    <xf numFmtId="164" fontId="22" fillId="37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40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7" fontId="0" fillId="0" borderId="17" xfId="0" applyNumberFormat="1" applyBorder="1"/>
    <xf numFmtId="0" fontId="0" fillId="0" borderId="17" xfId="0" applyBorder="1"/>
    <xf numFmtId="167" fontId="0" fillId="0" borderId="18" xfId="0" applyNumberFormat="1" applyBorder="1"/>
    <xf numFmtId="0" fontId="0" fillId="41" borderId="15" xfId="0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167" fontId="23" fillId="0" borderId="17" xfId="0" applyNumberFormat="1" applyFont="1" applyBorder="1"/>
    <xf numFmtId="167" fontId="23" fillId="0" borderId="18" xfId="0" applyNumberFormat="1" applyFont="1" applyBorder="1"/>
    <xf numFmtId="164" fontId="18" fillId="40" borderId="12" xfId="0" applyNumberFormat="1" applyFont="1" applyFill="1" applyBorder="1" applyAlignment="1">
      <alignment horizontal="center" vertical="center" wrapText="1"/>
    </xf>
    <xf numFmtId="164" fontId="18" fillId="40" borderId="13" xfId="0" applyNumberFormat="1" applyFont="1" applyFill="1" applyBorder="1" applyAlignment="1">
      <alignment horizontal="center" vertical="center" wrapText="1"/>
    </xf>
    <xf numFmtId="164" fontId="18" fillId="40" borderId="14" xfId="0" applyNumberFormat="1" applyFont="1" applyFill="1" applyBorder="1" applyAlignment="1">
      <alignment horizontal="center" vertical="center" wrapText="1"/>
    </xf>
    <xf numFmtId="164" fontId="18" fillId="40" borderId="0" xfId="0" applyNumberFormat="1" applyFont="1" applyFill="1" applyAlignment="1">
      <alignment horizontal="center" vertical="center" wrapText="1"/>
    </xf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G225"/>
  <sheetViews>
    <sheetView topLeftCell="B129" workbookViewId="0">
      <selection activeCell="I2" sqref="I2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7" x14ac:dyDescent="0.35">
      <c r="A1" s="8" t="s">
        <v>1</v>
      </c>
      <c r="B1" s="7" t="s">
        <v>2</v>
      </c>
      <c r="C1" s="12" t="s">
        <v>3</v>
      </c>
      <c r="D1" s="6" t="s">
        <v>4</v>
      </c>
      <c r="E1" s="6" t="s">
        <v>9</v>
      </c>
      <c r="F1" s="6" t="s">
        <v>0</v>
      </c>
    </row>
    <row r="2" spans="1:7" x14ac:dyDescent="0.35">
      <c r="A2" s="9">
        <v>1</v>
      </c>
      <c r="B2" s="10" t="s">
        <v>5</v>
      </c>
      <c r="C2" s="13">
        <v>16157</v>
      </c>
      <c r="D2" s="11">
        <v>139691.9</v>
      </c>
      <c r="E2" s="21">
        <v>8.9949258655892983</v>
      </c>
      <c r="F2" s="21" cm="1">
        <f t="array" ref="F2">edadCalc(C2)</f>
        <v>81</v>
      </c>
      <c r="G2" s="24" t="s">
        <v>12</v>
      </c>
    </row>
    <row r="3" spans="1:7" x14ac:dyDescent="0.35">
      <c r="A3" s="9">
        <v>2</v>
      </c>
      <c r="B3" s="10" t="s">
        <v>6</v>
      </c>
      <c r="C3" s="13">
        <v>17629</v>
      </c>
      <c r="D3" s="11">
        <v>134408.04999999999</v>
      </c>
      <c r="E3" s="21">
        <v>13.112371831483816</v>
      </c>
      <c r="F3" s="21" cm="1">
        <f t="array" ref="F3">edadCalc(C3)</f>
        <v>77</v>
      </c>
      <c r="G3" s="25">
        <f>AVERAGE(E2:E166)</f>
        <v>15.938510251404161</v>
      </c>
    </row>
    <row r="4" spans="1:7" x14ac:dyDescent="0.35">
      <c r="A4" s="9">
        <v>3</v>
      </c>
      <c r="B4" s="10" t="s">
        <v>5</v>
      </c>
      <c r="C4" s="13">
        <v>11997</v>
      </c>
      <c r="D4" s="11">
        <v>324120</v>
      </c>
      <c r="E4" s="21">
        <v>3.8119051014322145</v>
      </c>
      <c r="F4" s="21" cm="1">
        <f t="array" ref="F4">edadCalc(C4)</f>
        <v>93</v>
      </c>
      <c r="G4" s="23"/>
    </row>
    <row r="5" spans="1:7" x14ac:dyDescent="0.35">
      <c r="A5" s="9">
        <v>4</v>
      </c>
      <c r="B5" s="10" t="s">
        <v>6</v>
      </c>
      <c r="C5" s="13">
        <v>19001</v>
      </c>
      <c r="D5" s="11">
        <v>324120</v>
      </c>
      <c r="E5" s="21">
        <v>16.255071937180936</v>
      </c>
      <c r="F5" s="21" cm="1">
        <f t="array" ref="F5">edadCalc(C5)</f>
        <v>73</v>
      </c>
      <c r="G5" s="23"/>
    </row>
    <row r="6" spans="1:7" x14ac:dyDescent="0.35">
      <c r="A6" s="9">
        <v>5</v>
      </c>
      <c r="B6" s="10" t="s">
        <v>6</v>
      </c>
      <c r="C6" s="13">
        <v>17016</v>
      </c>
      <c r="D6" s="11">
        <v>29244.35</v>
      </c>
      <c r="E6" s="21">
        <v>11.646413982043986</v>
      </c>
      <c r="F6" s="21" cm="1">
        <f t="array" ref="F6">edadCalc(C6)</f>
        <v>79</v>
      </c>
      <c r="G6" s="23"/>
    </row>
    <row r="7" spans="1:7" x14ac:dyDescent="0.35">
      <c r="A7" s="9">
        <v>6</v>
      </c>
      <c r="B7" s="10" t="s">
        <v>5</v>
      </c>
      <c r="C7" s="13">
        <v>10524</v>
      </c>
      <c r="D7" s="11">
        <v>164681.25</v>
      </c>
      <c r="E7" s="21">
        <v>2.6911298902482201</v>
      </c>
      <c r="F7" s="21" cm="1">
        <f t="array" ref="F7">edadCalc(C7)</f>
        <v>97</v>
      </c>
      <c r="G7" s="23"/>
    </row>
    <row r="8" spans="1:7" x14ac:dyDescent="0.35">
      <c r="A8" s="9">
        <v>7</v>
      </c>
      <c r="B8" s="10" t="s">
        <v>6</v>
      </c>
      <c r="C8" s="13">
        <v>13169</v>
      </c>
      <c r="D8" s="11">
        <v>150512.75</v>
      </c>
      <c r="E8" s="21">
        <v>5.8329006946817925</v>
      </c>
      <c r="F8" s="21" cm="1">
        <f t="array" ref="F8">edadCalc(C8)</f>
        <v>89</v>
      </c>
      <c r="G8" s="23"/>
    </row>
    <row r="9" spans="1:7" x14ac:dyDescent="0.35">
      <c r="A9" s="9">
        <v>8</v>
      </c>
      <c r="B9" s="10" t="s">
        <v>6</v>
      </c>
      <c r="C9" s="13">
        <v>18976</v>
      </c>
      <c r="D9" s="11">
        <v>324120</v>
      </c>
      <c r="E9" s="21">
        <v>15.444809730615468</v>
      </c>
      <c r="F9" s="21" cm="1">
        <f t="array" ref="F9">edadCalc(C9)</f>
        <v>74</v>
      </c>
      <c r="G9" s="23"/>
    </row>
    <row r="10" spans="1:7" x14ac:dyDescent="0.35">
      <c r="A10" s="9">
        <v>9</v>
      </c>
      <c r="B10" s="10" t="s">
        <v>6</v>
      </c>
      <c r="C10" s="13">
        <v>17033</v>
      </c>
      <c r="D10" s="11">
        <v>251739.85</v>
      </c>
      <c r="E10" s="21">
        <v>11.646413982043986</v>
      </c>
      <c r="F10" s="21" cm="1">
        <f t="array" ref="F10">edadCalc(C10)</f>
        <v>79</v>
      </c>
      <c r="G10" s="23"/>
    </row>
    <row r="11" spans="1:7" x14ac:dyDescent="0.35">
      <c r="A11" s="9">
        <v>10</v>
      </c>
      <c r="B11" s="10" t="s">
        <v>5</v>
      </c>
      <c r="C11" s="13">
        <v>17968</v>
      </c>
      <c r="D11" s="11">
        <v>324120</v>
      </c>
      <c r="E11" s="21">
        <v>12.037163777739913</v>
      </c>
      <c r="F11" s="21" cm="1">
        <f t="array" ref="F11">edadCalc(C11)</f>
        <v>76</v>
      </c>
      <c r="G11" s="23"/>
    </row>
    <row r="12" spans="1:7" x14ac:dyDescent="0.35">
      <c r="A12" s="9">
        <v>11</v>
      </c>
      <c r="B12" s="10" t="s">
        <v>6</v>
      </c>
      <c r="C12" s="13">
        <v>17777</v>
      </c>
      <c r="D12" s="11">
        <v>126457.45</v>
      </c>
      <c r="E12" s="21">
        <v>13.112371831483816</v>
      </c>
      <c r="F12" s="21" cm="1">
        <f t="array" ref="F12">edadCalc(C12)</f>
        <v>77</v>
      </c>
      <c r="G12" s="23"/>
    </row>
    <row r="13" spans="1:7" x14ac:dyDescent="0.35">
      <c r="A13" s="9">
        <v>12</v>
      </c>
      <c r="B13" s="10" t="s">
        <v>6</v>
      </c>
      <c r="C13" s="13">
        <v>12619</v>
      </c>
      <c r="D13" s="11">
        <v>178343.55</v>
      </c>
      <c r="E13" s="21">
        <v>4.9566456092168441</v>
      </c>
      <c r="F13" s="21" cm="1">
        <f t="array" ref="F13">edadCalc(C13)</f>
        <v>91</v>
      </c>
      <c r="G13" s="23"/>
    </row>
    <row r="14" spans="1:7" x14ac:dyDescent="0.35">
      <c r="A14" s="9">
        <v>13</v>
      </c>
      <c r="B14" s="10" t="s">
        <v>5</v>
      </c>
      <c r="C14" s="13">
        <v>17418</v>
      </c>
      <c r="D14" s="11">
        <v>153258.79999999999</v>
      </c>
      <c r="E14" s="21">
        <v>10.764433882416627</v>
      </c>
      <c r="F14" s="21" cm="1">
        <f t="array" ref="F14">edadCalc(C14)</f>
        <v>78</v>
      </c>
      <c r="G14" s="23"/>
    </row>
    <row r="15" spans="1:7" x14ac:dyDescent="0.35">
      <c r="A15" s="9">
        <v>14</v>
      </c>
      <c r="B15" s="10" t="s">
        <v>6</v>
      </c>
      <c r="C15" s="13">
        <v>20093</v>
      </c>
      <c r="D15" s="11">
        <v>324120</v>
      </c>
      <c r="E15" s="21">
        <v>18.80323657510856</v>
      </c>
      <c r="F15" s="21" cm="1">
        <f t="array" ref="F15">edadCalc(C15)</f>
        <v>70</v>
      </c>
      <c r="G15" s="23"/>
    </row>
    <row r="16" spans="1:7" x14ac:dyDescent="0.35">
      <c r="A16" s="9">
        <v>15</v>
      </c>
      <c r="B16" s="10" t="s">
        <v>5</v>
      </c>
      <c r="C16" s="13">
        <v>18272</v>
      </c>
      <c r="D16" s="11">
        <v>88327.75</v>
      </c>
      <c r="E16" s="21">
        <v>12.702190154649601</v>
      </c>
      <c r="F16" s="21" cm="1">
        <f t="array" ref="F16">edadCalc(C16)</f>
        <v>75</v>
      </c>
      <c r="G16" s="23"/>
    </row>
    <row r="17" spans="1:7" x14ac:dyDescent="0.35">
      <c r="A17" s="9">
        <v>16</v>
      </c>
      <c r="B17" s="10" t="s">
        <v>6</v>
      </c>
      <c r="C17" s="13">
        <v>16272</v>
      </c>
      <c r="D17" s="11">
        <v>131806.79999999999</v>
      </c>
      <c r="E17" s="21">
        <v>10.285170161265095</v>
      </c>
      <c r="F17" s="21" cm="1">
        <f t="array" ref="F17">edadCalc(C17)</f>
        <v>81</v>
      </c>
      <c r="G17" s="23"/>
    </row>
    <row r="18" spans="1:7" x14ac:dyDescent="0.35">
      <c r="A18" s="9">
        <v>17</v>
      </c>
      <c r="B18" s="10" t="s">
        <v>6</v>
      </c>
      <c r="C18" s="13">
        <v>16508</v>
      </c>
      <c r="D18" s="11">
        <v>203624.6</v>
      </c>
      <c r="E18" s="21">
        <v>10.947529394645169</v>
      </c>
      <c r="F18" s="21" cm="1">
        <f t="array" ref="F18">edadCalc(C18)</f>
        <v>80</v>
      </c>
      <c r="G18" s="23"/>
    </row>
    <row r="19" spans="1:7" x14ac:dyDescent="0.35">
      <c r="A19" s="9">
        <v>18</v>
      </c>
      <c r="B19" s="10" t="s">
        <v>5</v>
      </c>
      <c r="C19" s="13">
        <v>19216</v>
      </c>
      <c r="D19" s="11">
        <v>174754.25</v>
      </c>
      <c r="E19" s="21">
        <v>14.101117314025453</v>
      </c>
      <c r="F19" s="21" cm="1">
        <f t="array" ref="F19">edadCalc(C19)</f>
        <v>73</v>
      </c>
      <c r="G19" s="23"/>
    </row>
    <row r="20" spans="1:7" x14ac:dyDescent="0.35">
      <c r="A20" s="9">
        <v>19</v>
      </c>
      <c r="B20" s="10" t="s">
        <v>6</v>
      </c>
      <c r="C20" s="13">
        <v>20179</v>
      </c>
      <c r="D20" s="11">
        <v>164772.29999999999</v>
      </c>
      <c r="E20" s="21">
        <v>18.80323657510856</v>
      </c>
      <c r="F20" s="21" cm="1">
        <f t="array" ref="F20">edadCalc(C20)</f>
        <v>70</v>
      </c>
      <c r="G20" s="23"/>
    </row>
    <row r="21" spans="1:7" x14ac:dyDescent="0.35">
      <c r="A21" s="9">
        <v>20</v>
      </c>
      <c r="B21" s="10" t="s">
        <v>6</v>
      </c>
      <c r="C21" s="13">
        <v>20486</v>
      </c>
      <c r="D21" s="11">
        <v>318787</v>
      </c>
      <c r="E21" s="21">
        <v>19.68551923473342</v>
      </c>
      <c r="F21" s="21" cm="1">
        <f t="array" ref="F21">edadCalc(C21)</f>
        <v>69</v>
      </c>
      <c r="G21" s="23"/>
    </row>
    <row r="22" spans="1:7" x14ac:dyDescent="0.35">
      <c r="A22" s="9">
        <v>21</v>
      </c>
      <c r="B22" s="10" t="s">
        <v>5</v>
      </c>
      <c r="C22" s="13">
        <v>19582</v>
      </c>
      <c r="D22" s="11">
        <v>140407.9</v>
      </c>
      <c r="E22" s="21">
        <v>14.835706022756767</v>
      </c>
      <c r="F22" s="21" cm="1">
        <f t="array" ref="F22">edadCalc(C22)</f>
        <v>72</v>
      </c>
      <c r="G22" s="23"/>
    </row>
    <row r="23" spans="1:7" x14ac:dyDescent="0.35">
      <c r="A23" s="9">
        <v>22</v>
      </c>
      <c r="B23" s="10" t="s">
        <v>6</v>
      </c>
      <c r="C23" s="13">
        <v>21853</v>
      </c>
      <c r="D23" s="11">
        <v>197317.15</v>
      </c>
      <c r="E23" s="21">
        <v>22.400788549984654</v>
      </c>
      <c r="F23" s="21" cm="1">
        <f t="array" ref="F23">edadCalc(C23)</f>
        <v>66</v>
      </c>
      <c r="G23" s="23"/>
    </row>
    <row r="24" spans="1:7" x14ac:dyDescent="0.35">
      <c r="A24" s="9">
        <v>23</v>
      </c>
      <c r="B24" s="10" t="s">
        <v>5</v>
      </c>
      <c r="C24" s="13">
        <v>19971</v>
      </c>
      <c r="D24" s="11">
        <v>324120</v>
      </c>
      <c r="E24" s="21">
        <v>15.591031075743659</v>
      </c>
      <c r="F24" s="21" cm="1">
        <f t="array" ref="F24">edadCalc(C24)</f>
        <v>71</v>
      </c>
      <c r="G24" s="23"/>
    </row>
    <row r="25" spans="1:7" x14ac:dyDescent="0.35">
      <c r="A25" s="9">
        <v>24</v>
      </c>
      <c r="B25" s="10" t="s">
        <v>5</v>
      </c>
      <c r="C25" s="13">
        <v>15422</v>
      </c>
      <c r="D25" s="11">
        <v>143938.04999999999</v>
      </c>
      <c r="E25" s="21">
        <v>7.9294093224902209</v>
      </c>
      <c r="F25" s="21" cm="1">
        <f t="array" ref="F25">edadCalc(C25)</f>
        <v>83</v>
      </c>
      <c r="G25" s="23"/>
    </row>
    <row r="26" spans="1:7" x14ac:dyDescent="0.35">
      <c r="A26" s="9">
        <v>25</v>
      </c>
      <c r="B26" s="10" t="s">
        <v>5</v>
      </c>
      <c r="C26" s="13">
        <v>14888</v>
      </c>
      <c r="D26" s="11">
        <v>112228.45</v>
      </c>
      <c r="E26" s="21">
        <v>6.9452773971844248</v>
      </c>
      <c r="F26" s="21" cm="1">
        <f t="array" ref="F26">edadCalc(C26)</f>
        <v>85</v>
      </c>
      <c r="G26" s="23"/>
    </row>
    <row r="27" spans="1:7" x14ac:dyDescent="0.35">
      <c r="A27" s="9">
        <v>26</v>
      </c>
      <c r="B27" s="10" t="s">
        <v>6</v>
      </c>
      <c r="C27" s="13">
        <v>21758</v>
      </c>
      <c r="D27" s="11">
        <v>162193.20000000001</v>
      </c>
      <c r="E27" s="21">
        <v>22.400788549984654</v>
      </c>
      <c r="F27" s="21" cm="1">
        <f t="array" ref="F27">edadCalc(C27)</f>
        <v>66</v>
      </c>
      <c r="G27" s="23"/>
    </row>
    <row r="28" spans="1:7" x14ac:dyDescent="0.35">
      <c r="A28" s="9">
        <v>27</v>
      </c>
      <c r="B28" s="10" t="s">
        <v>5</v>
      </c>
      <c r="C28" s="13">
        <v>21068</v>
      </c>
      <c r="D28" s="11">
        <v>165420.6</v>
      </c>
      <c r="E28" s="21">
        <v>17.947347391252443</v>
      </c>
      <c r="F28" s="21" cm="1">
        <f t="array" ref="F28">edadCalc(C28)</f>
        <v>68</v>
      </c>
      <c r="G28" s="23"/>
    </row>
    <row r="29" spans="1:7" x14ac:dyDescent="0.35">
      <c r="A29" s="9">
        <v>28</v>
      </c>
      <c r="B29" s="10" t="s">
        <v>6</v>
      </c>
      <c r="C29" s="13">
        <v>19396</v>
      </c>
      <c r="D29" s="11">
        <v>72760.45</v>
      </c>
      <c r="E29" s="21">
        <v>17.085209263270702</v>
      </c>
      <c r="F29" s="21" cm="1">
        <f t="array" ref="F29">edadCalc(C29)</f>
        <v>72</v>
      </c>
      <c r="G29" s="23"/>
    </row>
    <row r="30" spans="1:7" x14ac:dyDescent="0.35">
      <c r="A30" s="9">
        <v>29</v>
      </c>
      <c r="B30" s="10" t="s">
        <v>6</v>
      </c>
      <c r="C30" s="13">
        <v>15412</v>
      </c>
      <c r="D30" s="11">
        <v>84354.05</v>
      </c>
      <c r="E30" s="21">
        <v>9.0299282771384028</v>
      </c>
      <c r="F30" s="21" cm="1">
        <f t="array" ref="F30">edadCalc(C30)</f>
        <v>83</v>
      </c>
      <c r="G30" s="23"/>
    </row>
    <row r="31" spans="1:7" x14ac:dyDescent="0.35">
      <c r="A31" s="9">
        <v>30</v>
      </c>
      <c r="B31" s="10" t="s">
        <v>5</v>
      </c>
      <c r="C31" s="13">
        <v>16306</v>
      </c>
      <c r="D31" s="11">
        <v>164196.54999999999</v>
      </c>
      <c r="E31" s="21">
        <v>8.9949258655892983</v>
      </c>
      <c r="F31" s="21" cm="1">
        <f t="array" ref="F31">edadCalc(C31)</f>
        <v>81</v>
      </c>
      <c r="G31" s="23"/>
    </row>
    <row r="32" spans="1:7" x14ac:dyDescent="0.35">
      <c r="A32" s="9">
        <v>31</v>
      </c>
      <c r="B32" s="10" t="s">
        <v>5</v>
      </c>
      <c r="C32" s="13">
        <v>16350</v>
      </c>
      <c r="D32" s="11">
        <v>77960.800000000003</v>
      </c>
      <c r="E32" s="21">
        <v>8.9949258655892983</v>
      </c>
      <c r="F32" s="21" cm="1">
        <f t="array" ref="F32">edadCalc(C32)</f>
        <v>81</v>
      </c>
      <c r="G32" s="23"/>
    </row>
    <row r="33" spans="1:7" x14ac:dyDescent="0.35">
      <c r="A33" s="9">
        <v>32</v>
      </c>
      <c r="B33" s="10" t="s">
        <v>5</v>
      </c>
      <c r="C33" s="13">
        <v>17152</v>
      </c>
      <c r="D33" s="11">
        <v>324120</v>
      </c>
      <c r="E33" s="21">
        <v>10.15315439013929</v>
      </c>
      <c r="F33" s="21" cm="1">
        <f t="array" ref="F33">edadCalc(C33)</f>
        <v>79</v>
      </c>
      <c r="G33" s="23"/>
    </row>
    <row r="34" spans="1:7" x14ac:dyDescent="0.35">
      <c r="A34" s="9">
        <v>33</v>
      </c>
      <c r="B34" s="10" t="s">
        <v>6</v>
      </c>
      <c r="C34" s="13">
        <v>19101</v>
      </c>
      <c r="D34" s="11">
        <v>151965.04999999999</v>
      </c>
      <c r="E34" s="21">
        <v>16.255071937180936</v>
      </c>
      <c r="F34" s="21" cm="1">
        <f t="array" ref="F34">edadCalc(C34)</f>
        <v>73</v>
      </c>
      <c r="G34" s="23"/>
    </row>
    <row r="35" spans="1:7" x14ac:dyDescent="0.35">
      <c r="A35" s="9">
        <v>34</v>
      </c>
      <c r="B35" s="10" t="s">
        <v>6</v>
      </c>
      <c r="C35" s="13">
        <v>16389</v>
      </c>
      <c r="D35" s="11">
        <v>136227.4</v>
      </c>
      <c r="E35" s="21">
        <v>10.285170161265095</v>
      </c>
      <c r="F35" s="21" cm="1">
        <f t="array" ref="F35">edadCalc(C35)</f>
        <v>81</v>
      </c>
      <c r="G35" s="23"/>
    </row>
    <row r="36" spans="1:7" x14ac:dyDescent="0.35">
      <c r="A36" s="9">
        <v>35</v>
      </c>
      <c r="B36" s="10" t="s">
        <v>6</v>
      </c>
      <c r="C36" s="13">
        <v>15312</v>
      </c>
      <c r="D36" s="11">
        <v>324120</v>
      </c>
      <c r="E36" s="21">
        <v>8.4375564929884543</v>
      </c>
      <c r="F36" s="21" cm="1">
        <f t="array" ref="F36">edadCalc(C36)</f>
        <v>84</v>
      </c>
      <c r="G36" s="23"/>
    </row>
    <row r="37" spans="1:7" x14ac:dyDescent="0.35">
      <c r="A37" s="9">
        <v>36</v>
      </c>
      <c r="B37" s="10" t="s">
        <v>6</v>
      </c>
      <c r="C37" s="13">
        <v>16111</v>
      </c>
      <c r="D37" s="11">
        <v>122776.6</v>
      </c>
      <c r="E37" s="21">
        <v>10.285170161265095</v>
      </c>
      <c r="F37" s="21" cm="1">
        <f t="array" ref="F37">edadCalc(C37)</f>
        <v>81</v>
      </c>
      <c r="G37" s="23"/>
    </row>
    <row r="38" spans="1:7" x14ac:dyDescent="0.35">
      <c r="A38" s="9">
        <v>37</v>
      </c>
      <c r="B38" s="10" t="s">
        <v>6</v>
      </c>
      <c r="C38" s="13">
        <v>21428</v>
      </c>
      <c r="D38" s="11">
        <v>201244.2</v>
      </c>
      <c r="E38" s="21">
        <v>21.485517163643422</v>
      </c>
      <c r="F38" s="21" cm="1">
        <f t="array" ref="F38">edadCalc(C38)</f>
        <v>67</v>
      </c>
      <c r="G38" s="23"/>
    </row>
    <row r="39" spans="1:7" x14ac:dyDescent="0.35">
      <c r="A39" s="9">
        <v>38</v>
      </c>
      <c r="B39" s="10" t="s">
        <v>6</v>
      </c>
      <c r="C39" s="13">
        <v>19017</v>
      </c>
      <c r="D39" s="11">
        <v>100586.45</v>
      </c>
      <c r="E39" s="21">
        <v>16.255071937180936</v>
      </c>
      <c r="F39" s="21" cm="1">
        <f t="array" ref="F39">edadCalc(C39)</f>
        <v>73</v>
      </c>
      <c r="G39" s="23"/>
    </row>
    <row r="40" spans="1:7" x14ac:dyDescent="0.35">
      <c r="A40" s="9">
        <v>39</v>
      </c>
      <c r="B40" s="10" t="s">
        <v>5</v>
      </c>
      <c r="C40" s="13">
        <v>21300</v>
      </c>
      <c r="D40" s="11">
        <v>318787</v>
      </c>
      <c r="E40" s="21">
        <v>18.754690757810685</v>
      </c>
      <c r="F40" s="21" cm="1">
        <f t="array" ref="F40">edadCalc(C40)</f>
        <v>67</v>
      </c>
      <c r="G40" s="23"/>
    </row>
    <row r="41" spans="1:7" x14ac:dyDescent="0.35">
      <c r="A41" s="9">
        <v>40</v>
      </c>
      <c r="B41" s="10" t="s">
        <v>5</v>
      </c>
      <c r="C41" s="13">
        <v>18870</v>
      </c>
      <c r="D41" s="11">
        <v>324120</v>
      </c>
      <c r="E41" s="21">
        <v>13.389678035955068</v>
      </c>
      <c r="F41" s="21" cm="1">
        <f t="array" ref="F41">edadCalc(C41)</f>
        <v>74</v>
      </c>
      <c r="G41" s="23"/>
    </row>
    <row r="42" spans="1:7" x14ac:dyDescent="0.35">
      <c r="A42" s="9">
        <v>41</v>
      </c>
      <c r="B42" s="10" t="s">
        <v>6</v>
      </c>
      <c r="C42" s="13">
        <v>12164</v>
      </c>
      <c r="D42" s="11">
        <v>100880.35</v>
      </c>
      <c r="E42" s="21">
        <v>4.5530217278800045</v>
      </c>
      <c r="F42" s="21" cm="1">
        <f t="array" ref="F42">edadCalc(C42)</f>
        <v>92</v>
      </c>
      <c r="G42" s="23"/>
    </row>
    <row r="43" spans="1:7" x14ac:dyDescent="0.35">
      <c r="A43" s="9">
        <v>42</v>
      </c>
      <c r="B43" s="10" t="s">
        <v>5</v>
      </c>
      <c r="C43" s="13">
        <v>18622</v>
      </c>
      <c r="D43" s="11">
        <v>324120</v>
      </c>
      <c r="E43" s="21">
        <v>12.702190154649601</v>
      </c>
      <c r="F43" s="21" cm="1">
        <f t="array" ref="F43">edadCalc(C43)</f>
        <v>75</v>
      </c>
      <c r="G43" s="23"/>
    </row>
    <row r="44" spans="1:7" x14ac:dyDescent="0.35">
      <c r="A44" s="9">
        <v>43</v>
      </c>
      <c r="B44" s="10" t="s">
        <v>5</v>
      </c>
      <c r="C44" s="13">
        <v>20421</v>
      </c>
      <c r="D44" s="11">
        <v>324120</v>
      </c>
      <c r="E44" s="21">
        <v>16.3637398546506</v>
      </c>
      <c r="F44" s="21" cm="1">
        <f t="array" ref="F44">edadCalc(C44)</f>
        <v>70</v>
      </c>
      <c r="G44" s="23"/>
    </row>
    <row r="45" spans="1:7" x14ac:dyDescent="0.35">
      <c r="A45" s="9">
        <v>44</v>
      </c>
      <c r="B45" s="10" t="s">
        <v>5</v>
      </c>
      <c r="C45" s="13">
        <v>20976</v>
      </c>
      <c r="D45" s="11">
        <v>291410.3</v>
      </c>
      <c r="E45" s="21">
        <v>17.947347391252443</v>
      </c>
      <c r="F45" s="21" cm="1">
        <f t="array" ref="F45">edadCalc(C45)</f>
        <v>68</v>
      </c>
      <c r="G45" s="23"/>
    </row>
    <row r="46" spans="1:7" x14ac:dyDescent="0.35">
      <c r="A46" s="9">
        <v>45</v>
      </c>
      <c r="B46" s="10" t="s">
        <v>5</v>
      </c>
      <c r="C46" s="13">
        <v>19485</v>
      </c>
      <c r="D46" s="11">
        <v>238538.1</v>
      </c>
      <c r="E46" s="21">
        <v>14.835706022756767</v>
      </c>
      <c r="F46" s="21" cm="1">
        <f t="array" ref="F46">edadCalc(C46)</f>
        <v>72</v>
      </c>
      <c r="G46" s="23"/>
    </row>
    <row r="47" spans="1:7" x14ac:dyDescent="0.35">
      <c r="A47" s="9">
        <v>46</v>
      </c>
      <c r="B47" s="10" t="s">
        <v>5</v>
      </c>
      <c r="C47" s="13">
        <v>20398</v>
      </c>
      <c r="D47" s="11">
        <v>108514.35</v>
      </c>
      <c r="E47" s="21">
        <v>16.3637398546506</v>
      </c>
      <c r="F47" s="21" cm="1">
        <f t="array" ref="F47">edadCalc(C47)</f>
        <v>70</v>
      </c>
      <c r="G47" s="23"/>
    </row>
    <row r="48" spans="1:7" x14ac:dyDescent="0.35">
      <c r="A48" s="9">
        <v>47</v>
      </c>
      <c r="B48" s="10" t="s">
        <v>6</v>
      </c>
      <c r="C48" s="13">
        <v>19026</v>
      </c>
      <c r="D48" s="11">
        <v>324120</v>
      </c>
      <c r="E48" s="21">
        <v>16.255071937180936</v>
      </c>
      <c r="F48" s="21" cm="1">
        <f t="array" ref="F48">edadCalc(C48)</f>
        <v>73</v>
      </c>
      <c r="G48" s="23"/>
    </row>
    <row r="49" spans="1:7" x14ac:dyDescent="0.35">
      <c r="A49" s="9">
        <v>48</v>
      </c>
      <c r="B49" s="10" t="s">
        <v>5</v>
      </c>
      <c r="C49" s="13">
        <v>19920</v>
      </c>
      <c r="D49" s="11">
        <v>29567</v>
      </c>
      <c r="E49" s="21">
        <v>15.591031075743659</v>
      </c>
      <c r="F49" s="21" cm="1">
        <f t="array" ref="F49">edadCalc(C49)</f>
        <v>71</v>
      </c>
      <c r="G49" s="23"/>
    </row>
    <row r="50" spans="1:7" x14ac:dyDescent="0.35">
      <c r="A50" s="9">
        <v>49</v>
      </c>
      <c r="B50" s="10" t="s">
        <v>5</v>
      </c>
      <c r="C50" s="13">
        <v>17231</v>
      </c>
      <c r="D50" s="11">
        <v>282185.05</v>
      </c>
      <c r="E50" s="21">
        <v>10.764433882416627</v>
      </c>
      <c r="F50" s="21" cm="1">
        <f t="array" ref="F50">edadCalc(C50)</f>
        <v>78</v>
      </c>
      <c r="G50" s="23"/>
    </row>
    <row r="51" spans="1:7" x14ac:dyDescent="0.35">
      <c r="A51" s="9">
        <v>50</v>
      </c>
      <c r="B51" s="10" t="s">
        <v>5</v>
      </c>
      <c r="C51" s="13">
        <v>19056</v>
      </c>
      <c r="D51" s="11">
        <v>324120</v>
      </c>
      <c r="E51" s="21">
        <v>14.101117314025453</v>
      </c>
      <c r="F51" s="21" cm="1">
        <f t="array" ref="F51">edadCalc(C51)</f>
        <v>73</v>
      </c>
      <c r="G51" s="23"/>
    </row>
    <row r="52" spans="1:7" x14ac:dyDescent="0.35">
      <c r="A52" s="9">
        <v>51</v>
      </c>
      <c r="B52" s="10" t="s">
        <v>5</v>
      </c>
      <c r="C52" s="13">
        <v>18858</v>
      </c>
      <c r="D52" s="11">
        <v>82471.600000000006</v>
      </c>
      <c r="E52" s="21">
        <v>13.389678035955068</v>
      </c>
      <c r="F52" s="21" cm="1">
        <f t="array" ref="F52">edadCalc(C52)</f>
        <v>74</v>
      </c>
      <c r="G52" s="23"/>
    </row>
    <row r="53" spans="1:7" x14ac:dyDescent="0.35">
      <c r="A53" s="9">
        <v>52</v>
      </c>
      <c r="B53" s="10" t="s">
        <v>6</v>
      </c>
      <c r="C53" s="13">
        <v>15315</v>
      </c>
      <c r="D53" s="11">
        <v>64942.7</v>
      </c>
      <c r="E53" s="21">
        <v>8.4375564929884543</v>
      </c>
      <c r="F53" s="21" cm="1">
        <f t="array" ref="F53">edadCalc(C53)</f>
        <v>84</v>
      </c>
      <c r="G53" s="23"/>
    </row>
    <row r="54" spans="1:7" x14ac:dyDescent="0.35">
      <c r="A54" s="9">
        <v>53</v>
      </c>
      <c r="B54" s="10" t="s">
        <v>5</v>
      </c>
      <c r="C54" s="13">
        <v>15650</v>
      </c>
      <c r="D54" s="11">
        <v>108688.1</v>
      </c>
      <c r="E54" s="21">
        <v>7.9294093224902209</v>
      </c>
      <c r="F54" s="21" cm="1">
        <f t="array" ref="F54">edadCalc(C54)</f>
        <v>83</v>
      </c>
      <c r="G54" s="23"/>
    </row>
    <row r="55" spans="1:7" x14ac:dyDescent="0.35">
      <c r="A55" s="9">
        <v>54</v>
      </c>
      <c r="B55" s="10" t="s">
        <v>5</v>
      </c>
      <c r="C55" s="13">
        <v>18957</v>
      </c>
      <c r="D55" s="11">
        <v>139921.70000000001</v>
      </c>
      <c r="E55" s="21">
        <v>13.389678035955068</v>
      </c>
      <c r="F55" s="21" cm="1">
        <f t="array" ref="F55">edadCalc(C55)</f>
        <v>74</v>
      </c>
      <c r="G55" s="23"/>
    </row>
    <row r="56" spans="1:7" x14ac:dyDescent="0.35">
      <c r="A56" s="9">
        <v>55</v>
      </c>
      <c r="B56" s="10" t="s">
        <v>5</v>
      </c>
      <c r="C56" s="13">
        <v>20356</v>
      </c>
      <c r="D56" s="11">
        <v>133295.70000000001</v>
      </c>
      <c r="E56" s="21">
        <v>16.3637398546506</v>
      </c>
      <c r="F56" s="21" cm="1">
        <f t="array" ref="F56">edadCalc(C56)</f>
        <v>70</v>
      </c>
      <c r="G56" s="23"/>
    </row>
    <row r="57" spans="1:7" x14ac:dyDescent="0.35">
      <c r="A57" s="9">
        <v>56</v>
      </c>
      <c r="B57" s="10" t="s">
        <v>6</v>
      </c>
      <c r="C57" s="13">
        <v>20378</v>
      </c>
      <c r="D57" s="11">
        <v>324120</v>
      </c>
      <c r="E57" s="21">
        <v>18.80323657510856</v>
      </c>
      <c r="F57" s="21" cm="1">
        <f t="array" ref="F57">edadCalc(C57)</f>
        <v>70</v>
      </c>
      <c r="G57" s="23"/>
    </row>
    <row r="58" spans="1:7" x14ac:dyDescent="0.35">
      <c r="A58" s="9">
        <v>57</v>
      </c>
      <c r="B58" s="10" t="s">
        <v>6</v>
      </c>
      <c r="C58" s="13">
        <v>20598</v>
      </c>
      <c r="D58" s="11">
        <v>322912</v>
      </c>
      <c r="E58" s="21">
        <v>19.68551923473342</v>
      </c>
      <c r="F58" s="21" cm="1">
        <f t="array" ref="F58">edadCalc(C58)</f>
        <v>69</v>
      </c>
      <c r="G58" s="23"/>
    </row>
    <row r="59" spans="1:7" x14ac:dyDescent="0.35">
      <c r="A59" s="9">
        <v>58</v>
      </c>
      <c r="B59" s="10" t="s">
        <v>5</v>
      </c>
      <c r="C59" s="13">
        <v>20283</v>
      </c>
      <c r="D59" s="11">
        <v>282389.2</v>
      </c>
      <c r="E59" s="21">
        <v>16.3637398546506</v>
      </c>
      <c r="F59" s="21" cm="1">
        <f t="array" ref="F59">edadCalc(C59)</f>
        <v>70</v>
      </c>
      <c r="G59" s="23"/>
    </row>
    <row r="60" spans="1:7" x14ac:dyDescent="0.35">
      <c r="A60" s="9">
        <v>59</v>
      </c>
      <c r="B60" s="10" t="s">
        <v>6</v>
      </c>
      <c r="C60" s="13">
        <v>18549</v>
      </c>
      <c r="D60" s="11">
        <v>32427</v>
      </c>
      <c r="E60" s="21">
        <v>14.651865566689709</v>
      </c>
      <c r="F60" s="21" cm="1">
        <f t="array" ref="F60">edadCalc(C60)</f>
        <v>75</v>
      </c>
      <c r="G60" s="23"/>
    </row>
    <row r="61" spans="1:7" x14ac:dyDescent="0.35">
      <c r="A61" s="9">
        <v>60</v>
      </c>
      <c r="B61" s="10" t="s">
        <v>6</v>
      </c>
      <c r="C61" s="13">
        <v>18516</v>
      </c>
      <c r="D61" s="11">
        <v>78422.75</v>
      </c>
      <c r="E61" s="21">
        <v>14.651865566689709</v>
      </c>
      <c r="F61" s="21" cm="1">
        <f t="array" ref="F61">edadCalc(C61)</f>
        <v>75</v>
      </c>
      <c r="G61" s="23"/>
    </row>
    <row r="62" spans="1:7" x14ac:dyDescent="0.35">
      <c r="A62" s="9">
        <v>61</v>
      </c>
      <c r="B62" s="10" t="s">
        <v>5</v>
      </c>
      <c r="C62" s="13">
        <v>21224</v>
      </c>
      <c r="D62" s="11">
        <v>162643.20000000001</v>
      </c>
      <c r="E62" s="21">
        <v>18.754690757810685</v>
      </c>
      <c r="F62" s="21" cm="1">
        <f t="array" ref="F62">edadCalc(C62)</f>
        <v>67</v>
      </c>
      <c r="G62" s="23"/>
    </row>
    <row r="63" spans="1:7" x14ac:dyDescent="0.35">
      <c r="A63" s="9">
        <v>62</v>
      </c>
      <c r="B63" s="10" t="s">
        <v>6</v>
      </c>
      <c r="C63" s="13">
        <v>20757</v>
      </c>
      <c r="D63" s="11">
        <v>105752.1</v>
      </c>
      <c r="E63" s="21">
        <v>19.68551923473342</v>
      </c>
      <c r="F63" s="21" cm="1">
        <f t="array" ref="F63">edadCalc(C63)</f>
        <v>69</v>
      </c>
      <c r="G63" s="23"/>
    </row>
    <row r="64" spans="1:7" x14ac:dyDescent="0.35">
      <c r="A64" s="9">
        <v>63</v>
      </c>
      <c r="B64" s="10" t="s">
        <v>6</v>
      </c>
      <c r="C64" s="13">
        <v>20582</v>
      </c>
      <c r="D64" s="11">
        <v>144402.35</v>
      </c>
      <c r="E64" s="21">
        <v>19.68551923473342</v>
      </c>
      <c r="F64" s="21" cm="1">
        <f t="array" ref="F64">edadCalc(C64)</f>
        <v>69</v>
      </c>
      <c r="G64" s="23"/>
    </row>
    <row r="65" spans="1:7" x14ac:dyDescent="0.35">
      <c r="A65" s="9">
        <v>64</v>
      </c>
      <c r="B65" s="10" t="s">
        <v>6</v>
      </c>
      <c r="C65" s="13">
        <v>15018</v>
      </c>
      <c r="D65" s="11">
        <v>311859.75</v>
      </c>
      <c r="E65" s="21">
        <v>8.4375564929884543</v>
      </c>
      <c r="F65" s="21" cm="1">
        <f t="array" ref="F65">edadCalc(C65)</f>
        <v>84</v>
      </c>
      <c r="G65" s="23"/>
    </row>
    <row r="66" spans="1:7" x14ac:dyDescent="0.35">
      <c r="A66" s="9">
        <v>65</v>
      </c>
      <c r="B66" s="10" t="s">
        <v>6</v>
      </c>
      <c r="C66" s="13">
        <v>20037</v>
      </c>
      <c r="D66" s="11">
        <v>55597.9</v>
      </c>
      <c r="E66" s="21">
        <v>17.935435960461398</v>
      </c>
      <c r="F66" s="21" cm="1">
        <f t="array" ref="F66">edadCalc(C66)</f>
        <v>71</v>
      </c>
      <c r="G66" s="23"/>
    </row>
    <row r="67" spans="1:7" x14ac:dyDescent="0.35">
      <c r="A67" s="9">
        <v>66</v>
      </c>
      <c r="B67" s="10" t="s">
        <v>5</v>
      </c>
      <c r="C67" s="13">
        <v>23497</v>
      </c>
      <c r="D67" s="11">
        <v>172424</v>
      </c>
      <c r="E67" s="21">
        <v>23.85004080951116</v>
      </c>
      <c r="F67" s="21" cm="1">
        <f t="array" ref="F67">edadCalc(C67)</f>
        <v>61</v>
      </c>
      <c r="G67" s="23"/>
    </row>
    <row r="68" spans="1:7" x14ac:dyDescent="0.35">
      <c r="A68" s="9">
        <v>67</v>
      </c>
      <c r="B68" s="10" t="s">
        <v>6</v>
      </c>
      <c r="C68" s="13">
        <v>18486</v>
      </c>
      <c r="D68" s="11">
        <v>104609.4</v>
      </c>
      <c r="E68" s="21">
        <v>14.651865566689709</v>
      </c>
      <c r="F68" s="21" cm="1">
        <f t="array" ref="F68">edadCalc(C68)</f>
        <v>75</v>
      </c>
      <c r="G68" s="23"/>
    </row>
    <row r="69" spans="1:7" x14ac:dyDescent="0.35">
      <c r="A69" s="9">
        <v>68</v>
      </c>
      <c r="B69" s="10" t="s">
        <v>6</v>
      </c>
      <c r="C69" s="13">
        <v>23119</v>
      </c>
      <c r="D69" s="11">
        <v>175985.75</v>
      </c>
      <c r="E69" s="21">
        <v>26.167842103519721</v>
      </c>
      <c r="F69" s="21" cm="1">
        <f t="array" ref="F69">edadCalc(C69)</f>
        <v>62</v>
      </c>
      <c r="G69" s="23"/>
    </row>
    <row r="70" spans="1:7" x14ac:dyDescent="0.35">
      <c r="A70" s="9">
        <v>69</v>
      </c>
      <c r="B70" s="10" t="s">
        <v>5</v>
      </c>
      <c r="C70" s="13">
        <v>13372</v>
      </c>
      <c r="D70" s="11">
        <v>81568.55</v>
      </c>
      <c r="E70" s="21">
        <v>5.2210963051027699</v>
      </c>
      <c r="F70" s="21" cm="1">
        <f t="array" ref="F70">edadCalc(C70)</f>
        <v>89</v>
      </c>
      <c r="G70" s="23"/>
    </row>
    <row r="71" spans="1:7" x14ac:dyDescent="0.35">
      <c r="A71" s="9">
        <v>70</v>
      </c>
      <c r="B71" s="10" t="s">
        <v>6</v>
      </c>
      <c r="C71" s="13">
        <v>21089</v>
      </c>
      <c r="D71" s="11">
        <v>34376.1</v>
      </c>
      <c r="E71" s="21">
        <v>20.580121111078963</v>
      </c>
      <c r="F71" s="21" cm="1">
        <f t="array" ref="F71">edadCalc(C71)</f>
        <v>68</v>
      </c>
      <c r="G71" s="23"/>
    </row>
    <row r="72" spans="1:7" x14ac:dyDescent="0.35">
      <c r="A72" s="9">
        <v>71</v>
      </c>
      <c r="B72" s="10" t="s">
        <v>6</v>
      </c>
      <c r="C72" s="13">
        <v>21025</v>
      </c>
      <c r="D72" s="11">
        <v>315967.2</v>
      </c>
      <c r="E72" s="21">
        <v>20.580121111078963</v>
      </c>
      <c r="F72" s="21" cm="1">
        <f t="array" ref="F72">edadCalc(C72)</f>
        <v>68</v>
      </c>
      <c r="G72" s="23"/>
    </row>
    <row r="73" spans="1:7" x14ac:dyDescent="0.35">
      <c r="A73" s="9">
        <v>72</v>
      </c>
      <c r="B73" s="10" t="s">
        <v>6</v>
      </c>
      <c r="C73" s="13">
        <v>19884</v>
      </c>
      <c r="D73" s="11">
        <v>89487.15</v>
      </c>
      <c r="E73" s="21">
        <v>17.935435960461398</v>
      </c>
      <c r="F73" s="21" cm="1">
        <f t="array" ref="F73">edadCalc(C73)</f>
        <v>71</v>
      </c>
      <c r="G73" s="23"/>
    </row>
    <row r="74" spans="1:7" x14ac:dyDescent="0.35">
      <c r="A74" s="9">
        <v>73</v>
      </c>
      <c r="B74" s="10" t="s">
        <v>5</v>
      </c>
      <c r="C74" s="13">
        <v>21047</v>
      </c>
      <c r="D74" s="11">
        <v>115173.25</v>
      </c>
      <c r="E74" s="21">
        <v>17.947347391252443</v>
      </c>
      <c r="F74" s="21" cm="1">
        <f t="array" ref="F74">edadCalc(C74)</f>
        <v>68</v>
      </c>
      <c r="G74" s="23"/>
    </row>
    <row r="75" spans="1:7" x14ac:dyDescent="0.35">
      <c r="A75" s="9">
        <v>74</v>
      </c>
      <c r="B75" s="10" t="s">
        <v>6</v>
      </c>
      <c r="C75" s="13">
        <v>18974</v>
      </c>
      <c r="D75" s="11">
        <v>150016.29999999999</v>
      </c>
      <c r="E75" s="21">
        <v>15.444809730615468</v>
      </c>
      <c r="F75" s="21" cm="1">
        <f t="array" ref="F75">edadCalc(C75)</f>
        <v>74</v>
      </c>
      <c r="G75" s="23"/>
    </row>
    <row r="76" spans="1:7" x14ac:dyDescent="0.35">
      <c r="A76" s="9">
        <v>75</v>
      </c>
      <c r="B76" s="10" t="s">
        <v>5</v>
      </c>
      <c r="C76" s="13">
        <v>19814</v>
      </c>
      <c r="D76" s="11">
        <v>108198.1</v>
      </c>
      <c r="E76" s="21">
        <v>15.591031075743659</v>
      </c>
      <c r="F76" s="21" cm="1">
        <f t="array" ref="F76">edadCalc(C76)</f>
        <v>71</v>
      </c>
      <c r="G76" s="23"/>
    </row>
    <row r="77" spans="1:7" x14ac:dyDescent="0.35">
      <c r="A77" s="9">
        <v>76</v>
      </c>
      <c r="B77" s="10" t="s">
        <v>6</v>
      </c>
      <c r="C77" s="13">
        <v>17486</v>
      </c>
      <c r="D77" s="11">
        <v>136617.4</v>
      </c>
      <c r="E77" s="21">
        <v>12.36879073784945</v>
      </c>
      <c r="F77" s="21" cm="1">
        <f t="array" ref="F77">edadCalc(C77)</f>
        <v>78</v>
      </c>
      <c r="G77" s="23"/>
    </row>
    <row r="78" spans="1:7" x14ac:dyDescent="0.35">
      <c r="A78" s="9">
        <v>77</v>
      </c>
      <c r="B78" s="10" t="s">
        <v>6</v>
      </c>
      <c r="C78" s="13">
        <v>16460</v>
      </c>
      <c r="D78" s="11">
        <v>175954.25</v>
      </c>
      <c r="E78" s="21">
        <v>10.947529394645169</v>
      </c>
      <c r="F78" s="21" cm="1">
        <f t="array" ref="F78">edadCalc(C78)</f>
        <v>80</v>
      </c>
      <c r="G78" s="23"/>
    </row>
    <row r="79" spans="1:7" x14ac:dyDescent="0.35">
      <c r="A79" s="9">
        <v>78</v>
      </c>
      <c r="B79" s="10" t="s">
        <v>5</v>
      </c>
      <c r="C79" s="13">
        <v>20271</v>
      </c>
      <c r="D79" s="11">
        <v>322912</v>
      </c>
      <c r="E79" s="21">
        <v>16.3637398546506</v>
      </c>
      <c r="F79" s="21" cm="1">
        <f t="array" ref="F79">edadCalc(C79)</f>
        <v>70</v>
      </c>
      <c r="G79" s="23"/>
    </row>
    <row r="80" spans="1:7" x14ac:dyDescent="0.35">
      <c r="A80" s="9">
        <v>79</v>
      </c>
      <c r="B80" s="10" t="s">
        <v>6</v>
      </c>
      <c r="C80" s="13">
        <v>23374</v>
      </c>
      <c r="D80" s="11">
        <v>324120</v>
      </c>
      <c r="E80" s="21">
        <v>26.167842103519721</v>
      </c>
      <c r="F80" s="21" cm="1">
        <f t="array" ref="F80">edadCalc(C80)</f>
        <v>62</v>
      </c>
      <c r="G80" s="23"/>
    </row>
    <row r="81" spans="1:7" x14ac:dyDescent="0.35">
      <c r="A81" s="9">
        <v>80</v>
      </c>
      <c r="B81" s="10" t="s">
        <v>6</v>
      </c>
      <c r="C81" s="13">
        <v>21241</v>
      </c>
      <c r="D81" s="11">
        <v>145171.45000000001</v>
      </c>
      <c r="E81" s="21">
        <v>21.485517163643422</v>
      </c>
      <c r="F81" s="21" cm="1">
        <f t="array" ref="F81">edadCalc(C81)</f>
        <v>67</v>
      </c>
      <c r="G81" s="23"/>
    </row>
    <row r="82" spans="1:7" x14ac:dyDescent="0.35">
      <c r="A82" s="9">
        <v>81</v>
      </c>
      <c r="B82" s="10" t="s">
        <v>6</v>
      </c>
      <c r="C82" s="13">
        <v>22873</v>
      </c>
      <c r="D82" s="11">
        <v>324120</v>
      </c>
      <c r="E82" s="21">
        <v>25.209295182260512</v>
      </c>
      <c r="F82" s="21" cm="1">
        <f t="array" ref="F82">edadCalc(C82)</f>
        <v>63</v>
      </c>
      <c r="G82" s="23"/>
    </row>
    <row r="83" spans="1:7" x14ac:dyDescent="0.35">
      <c r="A83" s="9">
        <v>82</v>
      </c>
      <c r="B83" s="10" t="s">
        <v>5</v>
      </c>
      <c r="C83" s="13">
        <v>23738</v>
      </c>
      <c r="D83" s="11">
        <v>324120</v>
      </c>
      <c r="E83" s="21">
        <v>23.85004080951116</v>
      </c>
      <c r="F83" s="21" cm="1">
        <f t="array" ref="F83">edadCalc(C83)</f>
        <v>61</v>
      </c>
      <c r="G83" s="23"/>
    </row>
    <row r="84" spans="1:7" x14ac:dyDescent="0.35">
      <c r="A84" s="9">
        <v>83</v>
      </c>
      <c r="B84" s="10" t="s">
        <v>6</v>
      </c>
      <c r="C84" s="13">
        <v>20856</v>
      </c>
      <c r="D84" s="11">
        <v>324120</v>
      </c>
      <c r="E84" s="21">
        <v>20.580121111078963</v>
      </c>
      <c r="F84" s="21" cm="1">
        <f t="array" ref="F84">edadCalc(C84)</f>
        <v>68</v>
      </c>
      <c r="G84" s="23"/>
    </row>
    <row r="85" spans="1:7" x14ac:dyDescent="0.35">
      <c r="A85" s="9">
        <v>84</v>
      </c>
      <c r="B85" s="10" t="s">
        <v>6</v>
      </c>
      <c r="C85" s="13">
        <v>17799</v>
      </c>
      <c r="D85" s="11">
        <v>169080.25</v>
      </c>
      <c r="E85" s="21">
        <v>13.112371831483816</v>
      </c>
      <c r="F85" s="21" cm="1">
        <f t="array" ref="F85">edadCalc(C85)</f>
        <v>77</v>
      </c>
      <c r="G85" s="23"/>
    </row>
    <row r="86" spans="1:7" x14ac:dyDescent="0.35">
      <c r="A86" s="9">
        <v>85</v>
      </c>
      <c r="B86" s="10" t="s">
        <v>5</v>
      </c>
      <c r="C86" s="13">
        <v>22673</v>
      </c>
      <c r="D86" s="11">
        <v>181469.35</v>
      </c>
      <c r="E86" s="21">
        <v>22.104702578285469</v>
      </c>
      <c r="F86" s="21" cm="1">
        <f t="array" ref="F86">edadCalc(C86)</f>
        <v>63</v>
      </c>
      <c r="G86" s="23"/>
    </row>
    <row r="87" spans="1:7" x14ac:dyDescent="0.35">
      <c r="A87" s="9">
        <v>86</v>
      </c>
      <c r="B87" s="10" t="s">
        <v>6</v>
      </c>
      <c r="C87" s="13">
        <v>21980</v>
      </c>
      <c r="D87" s="11">
        <v>324120</v>
      </c>
      <c r="E87" s="21">
        <v>23.326034074748581</v>
      </c>
      <c r="F87" s="21" cm="1">
        <f t="array" ref="F87">edadCalc(C87)</f>
        <v>65</v>
      </c>
      <c r="G87" s="23"/>
    </row>
    <row r="88" spans="1:7" x14ac:dyDescent="0.35">
      <c r="A88" s="9">
        <v>87</v>
      </c>
      <c r="B88" s="10" t="s">
        <v>5</v>
      </c>
      <c r="C88" s="13">
        <v>18254</v>
      </c>
      <c r="D88" s="11">
        <v>223320.5</v>
      </c>
      <c r="E88" s="21">
        <v>12.037163777739913</v>
      </c>
      <c r="F88" s="21" cm="1">
        <f t="array" ref="F88">edadCalc(C88)</f>
        <v>76</v>
      </c>
      <c r="G88" s="23"/>
    </row>
    <row r="89" spans="1:7" x14ac:dyDescent="0.35">
      <c r="A89" s="9">
        <v>88</v>
      </c>
      <c r="B89" s="10" t="s">
        <v>6</v>
      </c>
      <c r="C89" s="13">
        <v>20088</v>
      </c>
      <c r="D89" s="11">
        <v>72576.100000000006</v>
      </c>
      <c r="E89" s="21">
        <v>17.935435960461398</v>
      </c>
      <c r="F89" s="21" cm="1">
        <f t="array" ref="F89">edadCalc(C89)</f>
        <v>71</v>
      </c>
      <c r="G89" s="23"/>
    </row>
    <row r="90" spans="1:7" x14ac:dyDescent="0.35">
      <c r="A90" s="9">
        <v>89</v>
      </c>
      <c r="B90" s="10" t="s">
        <v>6</v>
      </c>
      <c r="C90" s="13">
        <v>20049</v>
      </c>
      <c r="D90" s="11">
        <v>149187.04999999999</v>
      </c>
      <c r="E90" s="21">
        <v>17.935435960461398</v>
      </c>
      <c r="F90" s="21" cm="1">
        <f t="array" ref="F90">edadCalc(C90)</f>
        <v>71</v>
      </c>
      <c r="G90" s="23"/>
    </row>
    <row r="91" spans="1:7" x14ac:dyDescent="0.35">
      <c r="A91" s="9">
        <v>90</v>
      </c>
      <c r="B91" s="10" t="s">
        <v>5</v>
      </c>
      <c r="C91" s="13">
        <v>16789</v>
      </c>
      <c r="D91" s="11">
        <v>324120</v>
      </c>
      <c r="E91" s="21">
        <v>9.5581114588386349</v>
      </c>
      <c r="F91" s="21" cm="1">
        <f t="array" ref="F91">edadCalc(C91)</f>
        <v>80</v>
      </c>
      <c r="G91" s="23"/>
    </row>
    <row r="92" spans="1:7" x14ac:dyDescent="0.35">
      <c r="A92" s="9">
        <v>91</v>
      </c>
      <c r="B92" s="10" t="s">
        <v>6</v>
      </c>
      <c r="C92" s="13">
        <v>16973</v>
      </c>
      <c r="D92" s="11">
        <v>116643.75</v>
      </c>
      <c r="E92" s="21">
        <v>11.646413982043986</v>
      </c>
      <c r="F92" s="21" cm="1">
        <f t="array" ref="F92">edadCalc(C92)</f>
        <v>79</v>
      </c>
      <c r="G92" s="23"/>
    </row>
    <row r="93" spans="1:7" x14ac:dyDescent="0.35">
      <c r="A93" s="9">
        <v>92</v>
      </c>
      <c r="B93" s="10" t="s">
        <v>6</v>
      </c>
      <c r="C93" s="13">
        <v>20979</v>
      </c>
      <c r="D93" s="11">
        <v>323864.84999999998</v>
      </c>
      <c r="E93" s="21">
        <v>20.580121111078963</v>
      </c>
      <c r="F93" s="21" cm="1">
        <f t="array" ref="F93">edadCalc(C93)</f>
        <v>68</v>
      </c>
      <c r="G93" s="23"/>
    </row>
    <row r="94" spans="1:7" x14ac:dyDescent="0.35">
      <c r="A94" s="9">
        <v>93</v>
      </c>
      <c r="B94" s="10" t="s">
        <v>5</v>
      </c>
      <c r="C94" s="13">
        <v>23056</v>
      </c>
      <c r="D94" s="11">
        <v>320412.79999999999</v>
      </c>
      <c r="E94" s="21">
        <v>22.971615304633559</v>
      </c>
      <c r="F94" s="21" cm="1">
        <f t="array" ref="F94">edadCalc(C94)</f>
        <v>62</v>
      </c>
      <c r="G94" s="23"/>
    </row>
    <row r="95" spans="1:7" x14ac:dyDescent="0.35">
      <c r="A95" s="9">
        <v>94</v>
      </c>
      <c r="B95" s="10" t="s">
        <v>6</v>
      </c>
      <c r="C95" s="13">
        <v>22518</v>
      </c>
      <c r="D95" s="11">
        <v>324120</v>
      </c>
      <c r="E95" s="21">
        <v>24.262002905979745</v>
      </c>
      <c r="F95" s="21" cm="1">
        <f t="array" ref="F95">edadCalc(C95)</f>
        <v>64</v>
      </c>
      <c r="G95" s="23"/>
    </row>
    <row r="96" spans="1:7" x14ac:dyDescent="0.35">
      <c r="A96" s="9">
        <v>95</v>
      </c>
      <c r="B96" s="10" t="s">
        <v>5</v>
      </c>
      <c r="C96" s="13">
        <v>15503</v>
      </c>
      <c r="D96" s="11">
        <v>297379.55</v>
      </c>
      <c r="E96" s="21">
        <v>7.9294093224902209</v>
      </c>
      <c r="F96" s="21" cm="1">
        <f t="array" ref="F96">edadCalc(C96)</f>
        <v>83</v>
      </c>
      <c r="G96" s="23"/>
    </row>
    <row r="97" spans="1:7" x14ac:dyDescent="0.35">
      <c r="A97" s="9">
        <v>96</v>
      </c>
      <c r="B97" s="10" t="s">
        <v>5</v>
      </c>
      <c r="C97" s="13">
        <v>14692</v>
      </c>
      <c r="D97" s="11">
        <v>315367.84999999998</v>
      </c>
      <c r="E97" s="21">
        <v>6.9452773971844248</v>
      </c>
      <c r="F97" s="21" cm="1">
        <f t="array" ref="F97">edadCalc(C97)</f>
        <v>85</v>
      </c>
      <c r="G97" s="23"/>
    </row>
    <row r="98" spans="1:7" x14ac:dyDescent="0.35">
      <c r="A98" s="9">
        <v>97</v>
      </c>
      <c r="B98" s="10" t="s">
        <v>5</v>
      </c>
      <c r="C98" s="13">
        <v>15465</v>
      </c>
      <c r="D98" s="11">
        <v>183896.25</v>
      </c>
      <c r="E98" s="21">
        <v>7.9294093224902209</v>
      </c>
      <c r="F98" s="21" cm="1">
        <f t="array" ref="F98">edadCalc(C98)</f>
        <v>83</v>
      </c>
      <c r="G98" s="23"/>
    </row>
    <row r="99" spans="1:7" x14ac:dyDescent="0.35">
      <c r="A99" s="9">
        <v>98</v>
      </c>
      <c r="B99" s="10" t="s">
        <v>6</v>
      </c>
      <c r="C99" s="13">
        <v>14976</v>
      </c>
      <c r="D99" s="11">
        <v>102442.2</v>
      </c>
      <c r="E99" s="21">
        <v>7.8688850943109179</v>
      </c>
      <c r="F99" s="21" cm="1">
        <f t="array" ref="F99">edadCalc(C99)</f>
        <v>85</v>
      </c>
      <c r="G99" s="23"/>
    </row>
    <row r="100" spans="1:7" x14ac:dyDescent="0.35">
      <c r="A100" s="9">
        <v>99</v>
      </c>
      <c r="B100" s="10" t="s">
        <v>5</v>
      </c>
      <c r="C100" s="13">
        <v>14837</v>
      </c>
      <c r="D100" s="11">
        <v>54662.7</v>
      </c>
      <c r="E100" s="21">
        <v>6.9452773971844248</v>
      </c>
      <c r="F100" s="21" cm="1">
        <f t="array" ref="F100">edadCalc(C100)</f>
        <v>85</v>
      </c>
      <c r="G100" s="23"/>
    </row>
    <row r="101" spans="1:7" x14ac:dyDescent="0.35">
      <c r="A101" s="9">
        <v>100</v>
      </c>
      <c r="B101" s="10" t="s">
        <v>6</v>
      </c>
      <c r="C101" s="13">
        <v>20002</v>
      </c>
      <c r="D101" s="11">
        <v>322620.05</v>
      </c>
      <c r="E101" s="21">
        <v>17.935435960461398</v>
      </c>
      <c r="F101" s="21" cm="1">
        <f t="array" ref="F101">edadCalc(C101)</f>
        <v>71</v>
      </c>
      <c r="G101" s="23"/>
    </row>
    <row r="102" spans="1:7" x14ac:dyDescent="0.35">
      <c r="A102" s="9">
        <v>101</v>
      </c>
      <c r="B102" s="10" t="s">
        <v>6</v>
      </c>
      <c r="C102" s="13">
        <v>14361</v>
      </c>
      <c r="D102" s="11">
        <v>158226.75</v>
      </c>
      <c r="E102" s="21">
        <v>7.3240448819519406</v>
      </c>
      <c r="F102" s="21" cm="1">
        <f t="array" ref="F102">edadCalc(C102)</f>
        <v>86</v>
      </c>
      <c r="G102" s="23"/>
    </row>
    <row r="103" spans="1:7" x14ac:dyDescent="0.35">
      <c r="A103" s="9">
        <v>102</v>
      </c>
      <c r="B103" s="10" t="s">
        <v>5</v>
      </c>
      <c r="C103" s="13">
        <v>20791</v>
      </c>
      <c r="D103" s="11">
        <v>207620.85</v>
      </c>
      <c r="E103" s="21">
        <v>17.150111091255898</v>
      </c>
      <c r="F103" s="21" cm="1">
        <f t="array" ref="F103">edadCalc(C103)</f>
        <v>69</v>
      </c>
      <c r="G103" s="23"/>
    </row>
    <row r="104" spans="1:7" x14ac:dyDescent="0.35">
      <c r="A104" s="9">
        <v>103</v>
      </c>
      <c r="B104" s="10" t="s">
        <v>5</v>
      </c>
      <c r="C104" s="13">
        <v>22336</v>
      </c>
      <c r="D104" s="11">
        <v>324120</v>
      </c>
      <c r="E104" s="21">
        <v>21.248968189069874</v>
      </c>
      <c r="F104" s="21" cm="1">
        <f t="array" ref="F104">edadCalc(C104)</f>
        <v>64</v>
      </c>
      <c r="G104" s="23"/>
    </row>
    <row r="105" spans="1:7" x14ac:dyDescent="0.35">
      <c r="A105" s="9">
        <v>104</v>
      </c>
      <c r="B105" s="10" t="s">
        <v>5</v>
      </c>
      <c r="C105" s="13">
        <v>20403</v>
      </c>
      <c r="D105" s="11">
        <v>140473.35</v>
      </c>
      <c r="E105" s="21">
        <v>16.3637398546506</v>
      </c>
      <c r="F105" s="21" cm="1">
        <f t="array" ref="F105">edadCalc(C105)</f>
        <v>70</v>
      </c>
      <c r="G105" s="23"/>
    </row>
    <row r="106" spans="1:7" x14ac:dyDescent="0.35">
      <c r="A106" s="9">
        <v>105</v>
      </c>
      <c r="B106" s="10" t="s">
        <v>6</v>
      </c>
      <c r="C106" s="13">
        <v>19435</v>
      </c>
      <c r="D106" s="11">
        <v>324120</v>
      </c>
      <c r="E106" s="21">
        <v>17.085209263270702</v>
      </c>
      <c r="F106" s="21" cm="1">
        <f t="array" ref="F106">edadCalc(C106)</f>
        <v>72</v>
      </c>
      <c r="G106" s="23"/>
    </row>
    <row r="107" spans="1:7" x14ac:dyDescent="0.35">
      <c r="A107" s="9">
        <v>106</v>
      </c>
      <c r="B107" s="10" t="s">
        <v>6</v>
      </c>
      <c r="C107" s="13">
        <v>15638</v>
      </c>
      <c r="D107" s="11">
        <v>150465.65</v>
      </c>
      <c r="E107" s="21">
        <v>9.0299282771384028</v>
      </c>
      <c r="F107" s="21" cm="1">
        <f t="array" ref="F107">edadCalc(C107)</f>
        <v>83</v>
      </c>
      <c r="G107" s="23"/>
    </row>
    <row r="108" spans="1:7" x14ac:dyDescent="0.35">
      <c r="A108" s="9">
        <v>107</v>
      </c>
      <c r="B108" s="10" t="s">
        <v>6</v>
      </c>
      <c r="C108" s="13">
        <v>15262</v>
      </c>
      <c r="D108" s="11">
        <v>70742.100000000006</v>
      </c>
      <c r="E108" s="21">
        <v>8.4375564929884543</v>
      </c>
      <c r="F108" s="21" cm="1">
        <f t="array" ref="F108">edadCalc(C108)</f>
        <v>84</v>
      </c>
      <c r="G108" s="23"/>
    </row>
    <row r="109" spans="1:7" x14ac:dyDescent="0.35">
      <c r="A109" s="9">
        <v>108</v>
      </c>
      <c r="B109" s="10" t="s">
        <v>6</v>
      </c>
      <c r="C109" s="13">
        <v>19558</v>
      </c>
      <c r="D109" s="11">
        <v>65459.7</v>
      </c>
      <c r="E109" s="21">
        <v>17.085209263270702</v>
      </c>
      <c r="F109" s="21" cm="1">
        <f t="array" ref="F109">edadCalc(C109)</f>
        <v>72</v>
      </c>
      <c r="G109" s="23"/>
    </row>
    <row r="110" spans="1:7" x14ac:dyDescent="0.35">
      <c r="A110" s="9">
        <v>109</v>
      </c>
      <c r="B110" s="10" t="s">
        <v>6</v>
      </c>
      <c r="C110" s="13">
        <v>19830</v>
      </c>
      <c r="D110" s="11">
        <v>157792.75</v>
      </c>
      <c r="E110" s="21">
        <v>17.935435960461398</v>
      </c>
      <c r="F110" s="21" cm="1">
        <f t="array" ref="F110">edadCalc(C110)</f>
        <v>71</v>
      </c>
      <c r="G110" s="23"/>
    </row>
    <row r="111" spans="1:7" x14ac:dyDescent="0.35">
      <c r="A111" s="9">
        <v>110</v>
      </c>
      <c r="B111" s="10" t="s">
        <v>6</v>
      </c>
      <c r="C111" s="13">
        <v>19104</v>
      </c>
      <c r="D111" s="11">
        <v>324120</v>
      </c>
      <c r="E111" s="21">
        <v>16.255071937180936</v>
      </c>
      <c r="F111" s="21" cm="1">
        <f t="array" ref="F111">edadCalc(C111)</f>
        <v>73</v>
      </c>
      <c r="G111" s="23"/>
    </row>
    <row r="112" spans="1:7" x14ac:dyDescent="0.35">
      <c r="A112" s="9">
        <v>111</v>
      </c>
      <c r="B112" s="10" t="s">
        <v>5</v>
      </c>
      <c r="C112" s="13">
        <v>20794</v>
      </c>
      <c r="D112" s="11">
        <v>267911.59999999998</v>
      </c>
      <c r="E112" s="21">
        <v>17.150111091255898</v>
      </c>
      <c r="F112" s="21" cm="1">
        <f t="array" ref="F112">edadCalc(C112)</f>
        <v>69</v>
      </c>
      <c r="G112" s="23"/>
    </row>
    <row r="113" spans="1:7" x14ac:dyDescent="0.35">
      <c r="A113" s="9">
        <v>112</v>
      </c>
      <c r="B113" s="10" t="s">
        <v>5</v>
      </c>
      <c r="C113" s="13">
        <v>22845</v>
      </c>
      <c r="D113" s="11">
        <v>162719.95000000001</v>
      </c>
      <c r="E113" s="21">
        <v>22.104702578285469</v>
      </c>
      <c r="F113" s="21" cm="1">
        <f t="array" ref="F113">edadCalc(C113)</f>
        <v>63</v>
      </c>
      <c r="G113" s="23"/>
    </row>
    <row r="114" spans="1:7" x14ac:dyDescent="0.35">
      <c r="A114" s="9">
        <v>113</v>
      </c>
      <c r="B114" s="10" t="s">
        <v>6</v>
      </c>
      <c r="C114" s="13">
        <v>21081</v>
      </c>
      <c r="D114" s="11">
        <v>62433.95</v>
      </c>
      <c r="E114" s="21">
        <v>20.580121111078963</v>
      </c>
      <c r="F114" s="21" cm="1">
        <f t="array" ref="F114">edadCalc(C114)</f>
        <v>68</v>
      </c>
      <c r="G114" s="23"/>
    </row>
    <row r="115" spans="1:7" x14ac:dyDescent="0.35">
      <c r="A115" s="9">
        <v>114</v>
      </c>
      <c r="B115" s="10" t="s">
        <v>5</v>
      </c>
      <c r="C115" s="13">
        <v>21154</v>
      </c>
      <c r="D115" s="11">
        <v>110915</v>
      </c>
      <c r="E115" s="21">
        <v>17.947347391252443</v>
      </c>
      <c r="F115" s="21" cm="1">
        <f t="array" ref="F115">edadCalc(C115)</f>
        <v>68</v>
      </c>
      <c r="G115" s="23"/>
    </row>
    <row r="116" spans="1:7" x14ac:dyDescent="0.35">
      <c r="A116" s="9">
        <v>115</v>
      </c>
      <c r="B116" s="10" t="s">
        <v>5</v>
      </c>
      <c r="C116" s="13">
        <v>20765</v>
      </c>
      <c r="D116" s="11">
        <v>156404.25</v>
      </c>
      <c r="E116" s="21">
        <v>17.150111091255898</v>
      </c>
      <c r="F116" s="21" cm="1">
        <f t="array" ref="F116">edadCalc(C116)</f>
        <v>69</v>
      </c>
      <c r="G116" s="23"/>
    </row>
    <row r="117" spans="1:7" x14ac:dyDescent="0.35">
      <c r="A117" s="9">
        <v>116</v>
      </c>
      <c r="B117" s="10" t="s">
        <v>5</v>
      </c>
      <c r="C117" s="13">
        <v>21020</v>
      </c>
      <c r="D117" s="11">
        <v>322620.05</v>
      </c>
      <c r="E117" s="21">
        <v>17.947347391252443</v>
      </c>
      <c r="F117" s="21" cm="1">
        <f t="array" ref="F117">edadCalc(C117)</f>
        <v>68</v>
      </c>
      <c r="G117" s="23"/>
    </row>
    <row r="118" spans="1:7" x14ac:dyDescent="0.35">
      <c r="A118" s="9">
        <v>117</v>
      </c>
      <c r="B118" s="10" t="s">
        <v>5</v>
      </c>
      <c r="C118" s="13">
        <v>19480</v>
      </c>
      <c r="D118" s="11">
        <v>322912</v>
      </c>
      <c r="E118" s="21">
        <v>14.835706022756767</v>
      </c>
      <c r="F118" s="21" cm="1">
        <f t="array" ref="F118">edadCalc(C118)</f>
        <v>72</v>
      </c>
      <c r="G118" s="23"/>
    </row>
    <row r="119" spans="1:7" x14ac:dyDescent="0.35">
      <c r="A119" s="9">
        <v>118</v>
      </c>
      <c r="B119" s="10" t="s">
        <v>5</v>
      </c>
      <c r="C119" s="13">
        <v>21867</v>
      </c>
      <c r="D119" s="11">
        <v>197963.55</v>
      </c>
      <c r="E119" s="21">
        <v>19.573418083426301</v>
      </c>
      <c r="F119" s="21" cm="1">
        <f t="array" ref="F119">edadCalc(C119)</f>
        <v>66</v>
      </c>
      <c r="G119" s="23"/>
    </row>
    <row r="120" spans="1:7" x14ac:dyDescent="0.35">
      <c r="A120" s="9">
        <v>119</v>
      </c>
      <c r="B120" s="10" t="s">
        <v>6</v>
      </c>
      <c r="C120" s="13">
        <v>20899</v>
      </c>
      <c r="D120" s="11">
        <v>166335.35</v>
      </c>
      <c r="E120" s="21">
        <v>20.580121111078963</v>
      </c>
      <c r="F120" s="21" cm="1">
        <f t="array" ref="F120">edadCalc(C120)</f>
        <v>68</v>
      </c>
      <c r="G120" s="23"/>
    </row>
    <row r="121" spans="1:7" x14ac:dyDescent="0.35">
      <c r="A121" s="9">
        <v>120</v>
      </c>
      <c r="B121" s="10" t="s">
        <v>5</v>
      </c>
      <c r="C121" s="13">
        <v>23089</v>
      </c>
      <c r="D121" s="11">
        <v>142116.29999999999</v>
      </c>
      <c r="E121" s="21">
        <v>22.971615304633559</v>
      </c>
      <c r="F121" s="21" cm="1">
        <f t="array" ref="F121">edadCalc(C121)</f>
        <v>62</v>
      </c>
      <c r="G121" s="23"/>
    </row>
    <row r="122" spans="1:7" x14ac:dyDescent="0.35">
      <c r="A122" s="9">
        <v>121</v>
      </c>
      <c r="B122" s="10" t="s">
        <v>5</v>
      </c>
      <c r="C122" s="13">
        <v>20331</v>
      </c>
      <c r="D122" s="11">
        <v>112357.95</v>
      </c>
      <c r="E122" s="21">
        <v>16.3637398546506</v>
      </c>
      <c r="F122" s="21" cm="1">
        <f t="array" ref="F122">edadCalc(C122)</f>
        <v>70</v>
      </c>
      <c r="G122" s="23"/>
    </row>
    <row r="123" spans="1:7" x14ac:dyDescent="0.35">
      <c r="A123" s="9">
        <v>122</v>
      </c>
      <c r="B123" s="10" t="s">
        <v>5</v>
      </c>
      <c r="C123" s="13">
        <v>18832</v>
      </c>
      <c r="D123" s="11">
        <v>186315.95</v>
      </c>
      <c r="E123" s="21">
        <v>13.389678035955068</v>
      </c>
      <c r="F123" s="21" cm="1">
        <f t="array" ref="F123">edadCalc(C123)</f>
        <v>74</v>
      </c>
      <c r="G123" s="23"/>
    </row>
    <row r="124" spans="1:7" x14ac:dyDescent="0.35">
      <c r="A124" s="9">
        <v>123</v>
      </c>
      <c r="B124" s="10" t="s">
        <v>5</v>
      </c>
      <c r="C124" s="13">
        <v>20609</v>
      </c>
      <c r="D124" s="11">
        <v>294420.75</v>
      </c>
      <c r="E124" s="21">
        <v>17.150111091255898</v>
      </c>
      <c r="F124" s="21" cm="1">
        <f t="array" ref="F124">edadCalc(C124)</f>
        <v>69</v>
      </c>
      <c r="G124" s="23"/>
    </row>
    <row r="125" spans="1:7" x14ac:dyDescent="0.35">
      <c r="A125" s="9">
        <v>124</v>
      </c>
      <c r="B125" s="10" t="s">
        <v>6</v>
      </c>
      <c r="C125" s="13">
        <v>23102</v>
      </c>
      <c r="D125" s="11">
        <v>192970</v>
      </c>
      <c r="E125" s="21">
        <v>26.167842103519721</v>
      </c>
      <c r="F125" s="21" cm="1">
        <f t="array" ref="F125">edadCalc(C125)</f>
        <v>62</v>
      </c>
      <c r="G125" s="23"/>
    </row>
    <row r="126" spans="1:7" x14ac:dyDescent="0.35">
      <c r="A126" s="9">
        <v>125</v>
      </c>
      <c r="B126" s="10" t="s">
        <v>5</v>
      </c>
      <c r="C126" s="13">
        <v>21379</v>
      </c>
      <c r="D126" s="11">
        <v>109985.75</v>
      </c>
      <c r="E126" s="21">
        <v>18.754690757810685</v>
      </c>
      <c r="F126" s="21" cm="1">
        <f t="array" ref="F126">edadCalc(C126)</f>
        <v>67</v>
      </c>
      <c r="G126" s="23"/>
    </row>
    <row r="127" spans="1:7" x14ac:dyDescent="0.35">
      <c r="A127" s="9">
        <v>126</v>
      </c>
      <c r="B127" s="10" t="s">
        <v>5</v>
      </c>
      <c r="C127" s="13">
        <v>22169</v>
      </c>
      <c r="D127" s="11">
        <v>322912</v>
      </c>
      <c r="E127" s="21">
        <v>20.404898138176449</v>
      </c>
      <c r="F127" s="21" cm="1">
        <f t="array" ref="F127">edadCalc(C127)</f>
        <v>65</v>
      </c>
      <c r="G127" s="23"/>
    </row>
    <row r="128" spans="1:7" x14ac:dyDescent="0.35">
      <c r="A128" s="9">
        <v>127</v>
      </c>
      <c r="B128" s="10" t="s">
        <v>5</v>
      </c>
      <c r="C128" s="13">
        <v>23260</v>
      </c>
      <c r="D128" s="11">
        <v>186627.9</v>
      </c>
      <c r="E128" s="21">
        <v>22.971615304633559</v>
      </c>
      <c r="F128" s="21" cm="1">
        <f t="array" ref="F128">edadCalc(C128)</f>
        <v>62</v>
      </c>
      <c r="G128" s="23"/>
    </row>
    <row r="129" spans="1:7" x14ac:dyDescent="0.35">
      <c r="A129" s="9">
        <v>128</v>
      </c>
      <c r="B129" s="10" t="s">
        <v>6</v>
      </c>
      <c r="C129" s="13">
        <v>18499</v>
      </c>
      <c r="D129" s="11">
        <v>324120</v>
      </c>
      <c r="E129" s="21">
        <v>14.651865566689709</v>
      </c>
      <c r="F129" s="21" cm="1">
        <f t="array" ref="F129">edadCalc(C129)</f>
        <v>75</v>
      </c>
      <c r="G129" s="23"/>
    </row>
    <row r="130" spans="1:7" x14ac:dyDescent="0.35">
      <c r="A130" s="9">
        <v>129</v>
      </c>
      <c r="B130" s="10" t="s">
        <v>6</v>
      </c>
      <c r="C130" s="13">
        <v>21251</v>
      </c>
      <c r="D130" s="11">
        <v>324120</v>
      </c>
      <c r="E130" s="21">
        <v>21.485517163643422</v>
      </c>
      <c r="F130" s="21" cm="1">
        <f t="array" ref="F130">edadCalc(C130)</f>
        <v>67</v>
      </c>
      <c r="G130" s="23"/>
    </row>
    <row r="131" spans="1:7" x14ac:dyDescent="0.35">
      <c r="A131" s="9">
        <v>130</v>
      </c>
      <c r="B131" s="10" t="s">
        <v>5</v>
      </c>
      <c r="C131" s="13">
        <v>23126</v>
      </c>
      <c r="D131" s="11">
        <v>202152.75</v>
      </c>
      <c r="E131" s="21">
        <v>22.971615304633559</v>
      </c>
      <c r="F131" s="21" cm="1">
        <f t="array" ref="F131">edadCalc(C131)</f>
        <v>62</v>
      </c>
      <c r="G131" s="23"/>
    </row>
    <row r="132" spans="1:7" x14ac:dyDescent="0.35">
      <c r="A132" s="9">
        <v>131</v>
      </c>
      <c r="B132" s="10" t="s">
        <v>6</v>
      </c>
      <c r="C132" s="13">
        <v>24925</v>
      </c>
      <c r="D132" s="11">
        <v>182101.5</v>
      </c>
      <c r="E132" s="21">
        <v>31.096347758980656</v>
      </c>
      <c r="F132" s="21" cm="1">
        <f t="array" ref="F132">edadCalc(C132)</f>
        <v>57</v>
      </c>
      <c r="G132" s="23"/>
    </row>
    <row r="133" spans="1:7" x14ac:dyDescent="0.35">
      <c r="A133" s="9">
        <v>132</v>
      </c>
      <c r="B133" s="10" t="s">
        <v>6</v>
      </c>
      <c r="C133" s="13">
        <v>24865</v>
      </c>
      <c r="D133" s="11">
        <v>166232.4</v>
      </c>
      <c r="E133" s="21">
        <v>31.096347758980656</v>
      </c>
      <c r="F133" s="21" cm="1">
        <f t="array" ref="F133">edadCalc(C133)</f>
        <v>57</v>
      </c>
      <c r="G133" s="23"/>
    </row>
    <row r="134" spans="1:7" x14ac:dyDescent="0.35">
      <c r="A134" s="9">
        <v>133</v>
      </c>
      <c r="B134" s="10" t="s">
        <v>5</v>
      </c>
      <c r="C134" s="13">
        <v>21856</v>
      </c>
      <c r="D134" s="11">
        <v>322912</v>
      </c>
      <c r="E134" s="21">
        <v>19.573418083426301</v>
      </c>
      <c r="F134" s="21" cm="1">
        <f t="array" ref="F134">edadCalc(C134)</f>
        <v>66</v>
      </c>
      <c r="G134" s="23"/>
    </row>
    <row r="135" spans="1:7" x14ac:dyDescent="0.35">
      <c r="A135" s="9">
        <v>134</v>
      </c>
      <c r="B135" s="10" t="s">
        <v>6</v>
      </c>
      <c r="C135" s="13">
        <v>16921</v>
      </c>
      <c r="D135" s="11">
        <v>141298.25</v>
      </c>
      <c r="E135" s="21">
        <v>11.646413982043986</v>
      </c>
      <c r="F135" s="21" cm="1">
        <f t="array" ref="F135">edadCalc(C135)</f>
        <v>79</v>
      </c>
      <c r="G135" s="23"/>
    </row>
    <row r="136" spans="1:7" x14ac:dyDescent="0.35">
      <c r="A136" s="9">
        <v>135</v>
      </c>
      <c r="B136" s="10" t="s">
        <v>6</v>
      </c>
      <c r="C136" s="13">
        <v>20765</v>
      </c>
      <c r="D136" s="11">
        <v>103828.75</v>
      </c>
      <c r="E136" s="21">
        <v>19.68551923473342</v>
      </c>
      <c r="F136" s="21" cm="1">
        <f t="array" ref="F136">edadCalc(C136)</f>
        <v>69</v>
      </c>
      <c r="G136" s="23"/>
    </row>
    <row r="137" spans="1:7" x14ac:dyDescent="0.35">
      <c r="A137" s="9">
        <v>136</v>
      </c>
      <c r="B137" s="10" t="s">
        <v>6</v>
      </c>
      <c r="C137" s="13">
        <v>16975</v>
      </c>
      <c r="D137" s="11">
        <v>131930.45000000001</v>
      </c>
      <c r="E137" s="21">
        <v>11.646413982043986</v>
      </c>
      <c r="F137" s="21" cm="1">
        <f t="array" ref="F137">edadCalc(C137)</f>
        <v>79</v>
      </c>
      <c r="G137" s="23"/>
    </row>
    <row r="138" spans="1:7" x14ac:dyDescent="0.35">
      <c r="A138" s="9">
        <v>137</v>
      </c>
      <c r="B138" s="10" t="s">
        <v>6</v>
      </c>
      <c r="C138" s="13">
        <v>14666</v>
      </c>
      <c r="D138" s="11">
        <v>139084.1</v>
      </c>
      <c r="E138" s="21">
        <v>7.8688850943109179</v>
      </c>
      <c r="F138" s="21" cm="1">
        <f t="array" ref="F138">edadCalc(C138)</f>
        <v>85</v>
      </c>
      <c r="G138" s="23"/>
    </row>
    <row r="139" spans="1:7" x14ac:dyDescent="0.35">
      <c r="A139" s="9">
        <v>138</v>
      </c>
      <c r="B139" s="10" t="s">
        <v>5</v>
      </c>
      <c r="C139" s="13">
        <v>20696</v>
      </c>
      <c r="D139" s="11">
        <v>175620.75</v>
      </c>
      <c r="E139" s="21">
        <v>17.150111091255898</v>
      </c>
      <c r="F139" s="21" cm="1">
        <f t="array" ref="F139">edadCalc(C139)</f>
        <v>69</v>
      </c>
      <c r="G139" s="23"/>
    </row>
    <row r="140" spans="1:7" x14ac:dyDescent="0.35">
      <c r="A140" s="9">
        <v>139</v>
      </c>
      <c r="B140" s="10" t="s">
        <v>6</v>
      </c>
      <c r="C140" s="13">
        <v>20256</v>
      </c>
      <c r="D140" s="11">
        <v>146467.65</v>
      </c>
      <c r="E140" s="21">
        <v>18.80323657510856</v>
      </c>
      <c r="F140" s="21" cm="1">
        <f t="array" ref="F140">edadCalc(C140)</f>
        <v>70</v>
      </c>
      <c r="G140" s="23"/>
    </row>
    <row r="141" spans="1:7" x14ac:dyDescent="0.35">
      <c r="A141" s="9">
        <v>140</v>
      </c>
      <c r="B141" s="10" t="s">
        <v>6</v>
      </c>
      <c r="C141" s="13">
        <v>21868</v>
      </c>
      <c r="D141" s="11">
        <v>322912</v>
      </c>
      <c r="E141" s="21">
        <v>22.400788549984654</v>
      </c>
      <c r="F141" s="21" cm="1">
        <f t="array" ref="F141">edadCalc(C141)</f>
        <v>66</v>
      </c>
      <c r="G141" s="23"/>
    </row>
    <row r="142" spans="1:7" x14ac:dyDescent="0.35">
      <c r="A142" s="9">
        <v>141</v>
      </c>
      <c r="B142" s="10" t="s">
        <v>5</v>
      </c>
      <c r="C142" s="13">
        <v>23678</v>
      </c>
      <c r="D142" s="11">
        <v>324120</v>
      </c>
      <c r="E142" s="21">
        <v>23.85004080951116</v>
      </c>
      <c r="F142" s="21" cm="1">
        <f t="array" ref="F142">edadCalc(C142)</f>
        <v>61</v>
      </c>
      <c r="G142" s="23"/>
    </row>
    <row r="143" spans="1:7" x14ac:dyDescent="0.35">
      <c r="A143" s="9">
        <v>142</v>
      </c>
      <c r="B143" s="10" t="s">
        <v>6</v>
      </c>
      <c r="C143" s="13">
        <v>16039</v>
      </c>
      <c r="D143" s="11">
        <v>324120</v>
      </c>
      <c r="E143" s="21">
        <v>9.6458738681551264</v>
      </c>
      <c r="F143" s="21" cm="1">
        <f t="array" ref="F143">edadCalc(C143)</f>
        <v>82</v>
      </c>
      <c r="G143" s="23"/>
    </row>
    <row r="144" spans="1:7" x14ac:dyDescent="0.35">
      <c r="A144" s="9">
        <v>143</v>
      </c>
      <c r="B144" s="10" t="s">
        <v>6</v>
      </c>
      <c r="C144" s="13">
        <v>21028</v>
      </c>
      <c r="D144" s="11">
        <v>82028.5</v>
      </c>
      <c r="E144" s="21">
        <v>20.580121111078963</v>
      </c>
      <c r="F144" s="21" cm="1">
        <f t="array" ref="F144">edadCalc(C144)</f>
        <v>68</v>
      </c>
      <c r="G144" s="23"/>
    </row>
    <row r="145" spans="1:7" x14ac:dyDescent="0.35">
      <c r="A145" s="9">
        <v>144</v>
      </c>
      <c r="B145" s="10" t="s">
        <v>6</v>
      </c>
      <c r="C145" s="13">
        <v>20214</v>
      </c>
      <c r="D145" s="11">
        <v>107447</v>
      </c>
      <c r="E145" s="21">
        <v>18.80323657510856</v>
      </c>
      <c r="F145" s="21" cm="1">
        <f t="array" ref="F145">edadCalc(C145)</f>
        <v>70</v>
      </c>
      <c r="G145" s="23"/>
    </row>
    <row r="146" spans="1:7" x14ac:dyDescent="0.35">
      <c r="A146" s="9">
        <v>145</v>
      </c>
      <c r="B146" s="10" t="s">
        <v>5</v>
      </c>
      <c r="C146" s="13">
        <v>20950</v>
      </c>
      <c r="D146" s="11">
        <v>133052.5</v>
      </c>
      <c r="E146" s="21">
        <v>17.947347391252443</v>
      </c>
      <c r="F146" s="21" cm="1">
        <f t="array" ref="F146">edadCalc(C146)</f>
        <v>68</v>
      </c>
      <c r="G146" s="23"/>
    </row>
    <row r="147" spans="1:7" x14ac:dyDescent="0.35">
      <c r="A147" s="9">
        <v>146</v>
      </c>
      <c r="B147" s="10" t="s">
        <v>6</v>
      </c>
      <c r="C147" s="13">
        <v>24016</v>
      </c>
      <c r="D147" s="11">
        <v>99363.25</v>
      </c>
      <c r="E147" s="21">
        <v>28.115728962065347</v>
      </c>
      <c r="F147" s="21" cm="1">
        <f t="array" ref="F147">edadCalc(C147)</f>
        <v>60</v>
      </c>
      <c r="G147" s="23"/>
    </row>
    <row r="148" spans="1:7" x14ac:dyDescent="0.35">
      <c r="A148" s="9">
        <v>147</v>
      </c>
      <c r="B148" s="10" t="s">
        <v>5</v>
      </c>
      <c r="C148" s="13">
        <v>15855</v>
      </c>
      <c r="D148" s="11">
        <v>72087.8</v>
      </c>
      <c r="E148" s="21">
        <v>8.4520269677290454</v>
      </c>
      <c r="F148" s="21" cm="1">
        <f t="array" ref="F148">edadCalc(C148)</f>
        <v>82</v>
      </c>
      <c r="G148" s="23"/>
    </row>
    <row r="149" spans="1:7" x14ac:dyDescent="0.35">
      <c r="A149" s="9">
        <v>148</v>
      </c>
      <c r="B149" s="10" t="s">
        <v>6</v>
      </c>
      <c r="C149" s="13">
        <v>21567</v>
      </c>
      <c r="D149" s="11">
        <v>150793.35</v>
      </c>
      <c r="E149" s="21">
        <v>22.400788549984654</v>
      </c>
      <c r="F149" s="21" cm="1">
        <f t="array" ref="F149">edadCalc(C149)</f>
        <v>66</v>
      </c>
      <c r="G149" s="23"/>
    </row>
    <row r="150" spans="1:7" x14ac:dyDescent="0.35">
      <c r="A150" s="9">
        <v>149</v>
      </c>
      <c r="B150" s="10" t="s">
        <v>6</v>
      </c>
      <c r="C150" s="13">
        <v>18295</v>
      </c>
      <c r="D150" s="11">
        <v>149470.04999999999</v>
      </c>
      <c r="E150" s="21">
        <v>14.651865566689709</v>
      </c>
      <c r="F150" s="21" cm="1">
        <f t="array" ref="F150">edadCalc(C150)</f>
        <v>75</v>
      </c>
      <c r="G150" s="23"/>
    </row>
    <row r="151" spans="1:7" x14ac:dyDescent="0.35">
      <c r="A151" s="9">
        <v>150</v>
      </c>
      <c r="B151" s="10" t="s">
        <v>5</v>
      </c>
      <c r="C151" s="13">
        <v>22432</v>
      </c>
      <c r="D151" s="11">
        <v>80427.3</v>
      </c>
      <c r="E151" s="21">
        <v>21.248968189069874</v>
      </c>
      <c r="F151" s="21" cm="1">
        <f t="array" ref="F151">edadCalc(C151)</f>
        <v>64</v>
      </c>
      <c r="G151" s="23"/>
    </row>
    <row r="152" spans="1:7" x14ac:dyDescent="0.35">
      <c r="A152" s="9">
        <v>151</v>
      </c>
      <c r="B152" s="10" t="s">
        <v>6</v>
      </c>
      <c r="C152" s="13">
        <v>22021</v>
      </c>
      <c r="D152" s="11">
        <v>318787</v>
      </c>
      <c r="E152" s="21">
        <v>23.326034074748581</v>
      </c>
      <c r="F152" s="21" cm="1">
        <f t="array" ref="F152">edadCalc(C152)</f>
        <v>65</v>
      </c>
      <c r="G152" s="23"/>
    </row>
    <row r="153" spans="1:7" x14ac:dyDescent="0.35">
      <c r="A153" s="9">
        <v>152</v>
      </c>
      <c r="B153" s="10" t="s">
        <v>6</v>
      </c>
      <c r="C153" s="13">
        <v>19348</v>
      </c>
      <c r="D153" s="11">
        <v>320412.79999999999</v>
      </c>
      <c r="E153" s="21">
        <v>16.255071937180936</v>
      </c>
      <c r="F153" s="21" cm="1">
        <f t="array" ref="F153">edadCalc(C153)</f>
        <v>73</v>
      </c>
      <c r="G153" s="23"/>
    </row>
    <row r="154" spans="1:7" x14ac:dyDescent="0.35">
      <c r="A154" s="9">
        <v>153</v>
      </c>
      <c r="B154" s="10" t="s">
        <v>6</v>
      </c>
      <c r="C154" s="13">
        <v>18868</v>
      </c>
      <c r="D154" s="11">
        <v>98423.1</v>
      </c>
      <c r="E154" s="21">
        <v>15.444809730615468</v>
      </c>
      <c r="F154" s="21" cm="1">
        <f t="array" ref="F154">edadCalc(C154)</f>
        <v>74</v>
      </c>
      <c r="G154" s="23"/>
    </row>
    <row r="155" spans="1:7" x14ac:dyDescent="0.35">
      <c r="A155" s="9">
        <v>154</v>
      </c>
      <c r="B155" s="10" t="s">
        <v>5</v>
      </c>
      <c r="C155" s="13">
        <v>19592</v>
      </c>
      <c r="D155" s="11">
        <v>324120</v>
      </c>
      <c r="E155" s="21">
        <v>14.835706022756767</v>
      </c>
      <c r="F155" s="21" cm="1">
        <f t="array" ref="F155">edadCalc(C155)</f>
        <v>72</v>
      </c>
      <c r="G155" s="23"/>
    </row>
    <row r="156" spans="1:7" x14ac:dyDescent="0.35">
      <c r="A156" s="9">
        <v>155</v>
      </c>
      <c r="B156" s="10" t="s">
        <v>6</v>
      </c>
      <c r="C156" s="13">
        <v>22431</v>
      </c>
      <c r="D156" s="11">
        <v>318787</v>
      </c>
      <c r="E156" s="21">
        <v>24.262002905979745</v>
      </c>
      <c r="F156" s="21" cm="1">
        <f t="array" ref="F156">edadCalc(C156)</f>
        <v>64</v>
      </c>
      <c r="G156" s="23"/>
    </row>
    <row r="157" spans="1:7" x14ac:dyDescent="0.35">
      <c r="A157" s="9">
        <v>156</v>
      </c>
      <c r="B157" s="10" t="s">
        <v>6</v>
      </c>
      <c r="C157" s="13">
        <v>21951</v>
      </c>
      <c r="D157" s="11">
        <v>145800.6</v>
      </c>
      <c r="E157" s="21">
        <v>23.326034074748581</v>
      </c>
      <c r="F157" s="21" cm="1">
        <f t="array" ref="F157">edadCalc(C157)</f>
        <v>65</v>
      </c>
      <c r="G157" s="23"/>
    </row>
    <row r="158" spans="1:7" x14ac:dyDescent="0.35">
      <c r="A158" s="9">
        <v>157</v>
      </c>
      <c r="B158" s="10" t="s">
        <v>5</v>
      </c>
      <c r="C158" s="13">
        <v>22088</v>
      </c>
      <c r="D158" s="11">
        <v>61139.05</v>
      </c>
      <c r="E158" s="21">
        <v>20.404898138176449</v>
      </c>
      <c r="F158" s="21" cm="1">
        <f t="array" ref="F158">edadCalc(C158)</f>
        <v>65</v>
      </c>
      <c r="G158" s="23"/>
    </row>
    <row r="159" spans="1:7" x14ac:dyDescent="0.35">
      <c r="A159" s="9">
        <v>158</v>
      </c>
      <c r="B159" s="10" t="s">
        <v>6</v>
      </c>
      <c r="C159" s="13">
        <v>20128</v>
      </c>
      <c r="D159" s="11">
        <v>85015.7</v>
      </c>
      <c r="E159" s="21">
        <v>18.80323657510856</v>
      </c>
      <c r="F159" s="21" cm="1">
        <f t="array" ref="F159">edadCalc(C159)</f>
        <v>70</v>
      </c>
      <c r="G159" s="23"/>
    </row>
    <row r="160" spans="1:7" x14ac:dyDescent="0.35">
      <c r="A160" s="9">
        <v>159</v>
      </c>
      <c r="B160" s="10" t="s">
        <v>5</v>
      </c>
      <c r="C160" s="13">
        <v>18620</v>
      </c>
      <c r="D160" s="11">
        <v>324120</v>
      </c>
      <c r="E160" s="21">
        <v>12.702190154649601</v>
      </c>
      <c r="F160" s="21" cm="1">
        <f t="array" ref="F160">edadCalc(C160)</f>
        <v>75</v>
      </c>
      <c r="G160" s="23"/>
    </row>
    <row r="161" spans="1:7" x14ac:dyDescent="0.35">
      <c r="A161" s="9">
        <v>160</v>
      </c>
      <c r="B161" s="10" t="s">
        <v>6</v>
      </c>
      <c r="C161" s="13">
        <v>18406</v>
      </c>
      <c r="D161" s="11">
        <v>160736.79999999999</v>
      </c>
      <c r="E161" s="21">
        <v>14.651865566689709</v>
      </c>
      <c r="F161" s="21" cm="1">
        <f t="array" ref="F161">edadCalc(C161)</f>
        <v>75</v>
      </c>
      <c r="G161" s="23"/>
    </row>
    <row r="162" spans="1:7" x14ac:dyDescent="0.35">
      <c r="A162" s="9">
        <v>161</v>
      </c>
      <c r="B162" s="10" t="s">
        <v>6</v>
      </c>
      <c r="C162" s="13">
        <v>20294</v>
      </c>
      <c r="D162" s="11">
        <v>161077.25</v>
      </c>
      <c r="E162" s="21">
        <v>18.80323657510856</v>
      </c>
      <c r="F162" s="21" cm="1">
        <f t="array" ref="F162">edadCalc(C162)</f>
        <v>70</v>
      </c>
      <c r="G162" s="23"/>
    </row>
    <row r="163" spans="1:7" x14ac:dyDescent="0.35">
      <c r="A163" s="9">
        <v>162</v>
      </c>
      <c r="B163" s="10" t="s">
        <v>5</v>
      </c>
      <c r="C163" s="13">
        <v>14504</v>
      </c>
      <c r="D163" s="11">
        <v>165144.20000000001</v>
      </c>
      <c r="E163" s="21">
        <v>6.4838445429244143</v>
      </c>
      <c r="F163" s="21" cm="1">
        <f t="array" ref="F163">edadCalc(C163)</f>
        <v>86</v>
      </c>
      <c r="G163" s="23"/>
    </row>
    <row r="164" spans="1:7" x14ac:dyDescent="0.35">
      <c r="A164" s="9">
        <v>163</v>
      </c>
      <c r="B164" s="10" t="s">
        <v>6</v>
      </c>
      <c r="C164" s="13">
        <v>20560</v>
      </c>
      <c r="D164" s="11">
        <v>324120</v>
      </c>
      <c r="E164" s="21">
        <v>19.68551923473342</v>
      </c>
      <c r="F164" s="21" cm="1">
        <f t="array" ref="F164">edadCalc(C164)</f>
        <v>69</v>
      </c>
      <c r="G164" s="23"/>
    </row>
    <row r="165" spans="1:7" x14ac:dyDescent="0.35">
      <c r="A165" s="9">
        <v>164</v>
      </c>
      <c r="B165" s="10" t="s">
        <v>6</v>
      </c>
      <c r="C165" s="13">
        <v>18826</v>
      </c>
      <c r="D165" s="11">
        <v>318787</v>
      </c>
      <c r="E165" s="21">
        <v>15.444809730615468</v>
      </c>
      <c r="F165" s="21" cm="1">
        <f t="array" ref="F165">edadCalc(C165)</f>
        <v>74</v>
      </c>
      <c r="G165" s="23"/>
    </row>
    <row r="166" spans="1:7" x14ac:dyDescent="0.35">
      <c r="A166" s="9">
        <v>165</v>
      </c>
      <c r="B166" s="10" t="s">
        <v>5</v>
      </c>
      <c r="C166" s="13">
        <v>16217</v>
      </c>
      <c r="D166" s="11">
        <v>153596.29999999999</v>
      </c>
      <c r="E166" s="21">
        <v>8.9949258655892983</v>
      </c>
      <c r="F166" s="21" cm="1">
        <f t="array" ref="F166">edadCalc(C166)</f>
        <v>81</v>
      </c>
      <c r="G166" s="23"/>
    </row>
    <row r="167" spans="1:7" x14ac:dyDescent="0.35">
      <c r="G167" s="23"/>
    </row>
    <row r="168" spans="1:7" x14ac:dyDescent="0.35">
      <c r="G168" s="23"/>
    </row>
    <row r="169" spans="1:7" x14ac:dyDescent="0.35">
      <c r="G169" s="23"/>
    </row>
    <row r="170" spans="1:7" x14ac:dyDescent="0.35">
      <c r="G170" s="23"/>
    </row>
    <row r="171" spans="1:7" x14ac:dyDescent="0.35">
      <c r="G171" s="23"/>
    </row>
    <row r="172" spans="1:7" x14ac:dyDescent="0.35">
      <c r="G172" s="23"/>
    </row>
    <row r="173" spans="1:7" x14ac:dyDescent="0.35">
      <c r="G173" s="23"/>
    </row>
    <row r="174" spans="1:7" x14ac:dyDescent="0.35">
      <c r="G174" s="23"/>
    </row>
    <row r="175" spans="1:7" x14ac:dyDescent="0.35">
      <c r="G175" s="23"/>
    </row>
    <row r="176" spans="1:7" x14ac:dyDescent="0.35">
      <c r="G176" s="23"/>
    </row>
    <row r="177" spans="7:7" x14ac:dyDescent="0.35">
      <c r="G177" s="23"/>
    </row>
    <row r="178" spans="7:7" x14ac:dyDescent="0.35">
      <c r="G178" s="23"/>
    </row>
    <row r="179" spans="7:7" x14ac:dyDescent="0.35">
      <c r="G179" s="23"/>
    </row>
    <row r="180" spans="7:7" x14ac:dyDescent="0.35">
      <c r="G180" s="23"/>
    </row>
    <row r="181" spans="7:7" x14ac:dyDescent="0.35">
      <c r="G181" s="23"/>
    </row>
    <row r="182" spans="7:7" x14ac:dyDescent="0.35">
      <c r="G182" s="23"/>
    </row>
    <row r="183" spans="7:7" x14ac:dyDescent="0.35">
      <c r="G183" s="23"/>
    </row>
    <row r="184" spans="7:7" x14ac:dyDescent="0.35">
      <c r="G184" s="23"/>
    </row>
    <row r="185" spans="7:7" x14ac:dyDescent="0.35">
      <c r="G185" s="23"/>
    </row>
    <row r="186" spans="7:7" x14ac:dyDescent="0.35">
      <c r="G186" s="23"/>
    </row>
    <row r="187" spans="7:7" x14ac:dyDescent="0.35">
      <c r="G187" s="23"/>
    </row>
    <row r="188" spans="7:7" x14ac:dyDescent="0.35">
      <c r="G188" s="23"/>
    </row>
    <row r="189" spans="7:7" x14ac:dyDescent="0.35">
      <c r="G189" s="23"/>
    </row>
    <row r="190" spans="7:7" x14ac:dyDescent="0.35">
      <c r="G190" s="23"/>
    </row>
    <row r="191" spans="7:7" x14ac:dyDescent="0.35">
      <c r="G191" s="23"/>
    </row>
    <row r="192" spans="7:7" x14ac:dyDescent="0.35">
      <c r="G192" s="23"/>
    </row>
    <row r="193" spans="7:7" x14ac:dyDescent="0.35">
      <c r="G193" s="23"/>
    </row>
    <row r="194" spans="7:7" x14ac:dyDescent="0.35">
      <c r="G194" s="23"/>
    </row>
    <row r="195" spans="7:7" x14ac:dyDescent="0.35">
      <c r="G195" s="23"/>
    </row>
    <row r="196" spans="7:7" x14ac:dyDescent="0.35">
      <c r="G196" s="23"/>
    </row>
    <row r="197" spans="7:7" x14ac:dyDescent="0.35">
      <c r="G197" s="23"/>
    </row>
    <row r="198" spans="7:7" x14ac:dyDescent="0.35">
      <c r="G198" s="23"/>
    </row>
    <row r="199" spans="7:7" x14ac:dyDescent="0.35">
      <c r="G199" s="23"/>
    </row>
    <row r="200" spans="7:7" x14ac:dyDescent="0.35">
      <c r="G200" s="23"/>
    </row>
    <row r="201" spans="7:7" x14ac:dyDescent="0.35">
      <c r="G201" s="23"/>
    </row>
    <row r="202" spans="7:7" x14ac:dyDescent="0.35">
      <c r="G202" s="23"/>
    </row>
    <row r="203" spans="7:7" x14ac:dyDescent="0.35">
      <c r="G203" s="23"/>
    </row>
    <row r="204" spans="7:7" x14ac:dyDescent="0.35">
      <c r="G204" s="23"/>
    </row>
    <row r="205" spans="7:7" x14ac:dyDescent="0.35">
      <c r="G205" s="23"/>
    </row>
    <row r="206" spans="7:7" x14ac:dyDescent="0.35">
      <c r="G206" s="23"/>
    </row>
    <row r="207" spans="7:7" x14ac:dyDescent="0.35">
      <c r="G207" s="23"/>
    </row>
    <row r="208" spans="7:7" x14ac:dyDescent="0.35">
      <c r="G208" s="23"/>
    </row>
    <row r="209" spans="7:7" x14ac:dyDescent="0.35">
      <c r="G209" s="23"/>
    </row>
    <row r="210" spans="7:7" x14ac:dyDescent="0.35">
      <c r="G210" s="23"/>
    </row>
    <row r="211" spans="7:7" x14ac:dyDescent="0.35">
      <c r="G211" s="23"/>
    </row>
    <row r="212" spans="7:7" x14ac:dyDescent="0.35">
      <c r="G212" s="23"/>
    </row>
    <row r="213" spans="7:7" x14ac:dyDescent="0.35">
      <c r="G213" s="23"/>
    </row>
    <row r="214" spans="7:7" x14ac:dyDescent="0.35">
      <c r="G214" s="23"/>
    </row>
    <row r="215" spans="7:7" x14ac:dyDescent="0.35">
      <c r="G215" s="23"/>
    </row>
    <row r="216" spans="7:7" x14ac:dyDescent="0.35">
      <c r="G216" s="23"/>
    </row>
    <row r="217" spans="7:7" x14ac:dyDescent="0.35">
      <c r="G217" s="23"/>
    </row>
    <row r="218" spans="7:7" x14ac:dyDescent="0.35">
      <c r="G218" s="23"/>
    </row>
    <row r="219" spans="7:7" x14ac:dyDescent="0.35">
      <c r="G219" s="23"/>
    </row>
    <row r="220" spans="7:7" x14ac:dyDescent="0.35">
      <c r="G220" s="23"/>
    </row>
    <row r="221" spans="7:7" x14ac:dyDescent="0.35">
      <c r="G221" s="23"/>
    </row>
    <row r="222" spans="7:7" x14ac:dyDescent="0.35">
      <c r="G222" s="23"/>
    </row>
    <row r="223" spans="7:7" x14ac:dyDescent="0.35">
      <c r="G223" s="23"/>
    </row>
    <row r="224" spans="7:7" x14ac:dyDescent="0.35">
      <c r="G224" s="23"/>
    </row>
    <row r="225" spans="7:7" x14ac:dyDescent="0.35">
      <c r="G225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I225"/>
  <sheetViews>
    <sheetView topLeftCell="B211" workbookViewId="0">
      <selection activeCell="G1" sqref="G1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</cols>
  <sheetData>
    <row r="1" spans="1:9" x14ac:dyDescent="0.35">
      <c r="A1" s="8" t="s">
        <v>1</v>
      </c>
      <c r="B1" s="5" t="s">
        <v>7</v>
      </c>
      <c r="C1" s="16" t="s">
        <v>8</v>
      </c>
      <c r="D1" s="6" t="s">
        <v>2</v>
      </c>
      <c r="E1" s="16" t="s">
        <v>3</v>
      </c>
      <c r="F1" s="16" t="s">
        <v>13</v>
      </c>
      <c r="G1" s="16" t="s">
        <v>0</v>
      </c>
    </row>
    <row r="2" spans="1:9" x14ac:dyDescent="0.35">
      <c r="A2" s="9">
        <v>1</v>
      </c>
      <c r="B2" s="14">
        <v>725402</v>
      </c>
      <c r="C2" s="17">
        <v>39510</v>
      </c>
      <c r="D2" s="11" t="s">
        <v>6</v>
      </c>
      <c r="E2" s="17">
        <v>28932</v>
      </c>
      <c r="F2" s="21">
        <v>42.459434477038705</v>
      </c>
      <c r="G2" s="21" cm="1">
        <f t="array" ref="G2">edadCalc(E2)</f>
        <v>46</v>
      </c>
      <c r="H2" s="22" t="s">
        <v>10</v>
      </c>
    </row>
    <row r="3" spans="1:9" x14ac:dyDescent="0.35">
      <c r="A3" s="9">
        <f>+A2+1</f>
        <v>2</v>
      </c>
      <c r="B3" s="14">
        <v>653642</v>
      </c>
      <c r="C3" s="17">
        <v>39027</v>
      </c>
      <c r="D3" s="11" t="s">
        <v>6</v>
      </c>
      <c r="E3" s="17">
        <v>30404</v>
      </c>
      <c r="F3" s="21">
        <v>46.708036110635952</v>
      </c>
      <c r="G3" s="21" cm="1">
        <f t="array" ref="G3">edadCalc(E3)</f>
        <v>42</v>
      </c>
      <c r="H3" s="21">
        <f>AVERAGE(F2:F225)</f>
        <v>50.038892172609579</v>
      </c>
    </row>
    <row r="4" spans="1:9" x14ac:dyDescent="0.35">
      <c r="A4" s="9">
        <f t="shared" ref="A4:A67" si="0">+A3+1</f>
        <v>3</v>
      </c>
      <c r="B4" s="19">
        <v>663199.5</v>
      </c>
      <c r="C4" s="18">
        <v>44562</v>
      </c>
      <c r="D4" s="15" t="s">
        <v>6</v>
      </c>
      <c r="E4" s="18">
        <v>24772</v>
      </c>
      <c r="F4" s="21">
        <v>30.096305730243628</v>
      </c>
      <c r="G4" s="21" cm="1">
        <f t="array" ref="G4">edadCalc(E4)</f>
        <v>58</v>
      </c>
      <c r="I4" t="s">
        <v>14</v>
      </c>
    </row>
    <row r="5" spans="1:9" x14ac:dyDescent="0.35">
      <c r="A5" s="9">
        <f t="shared" si="0"/>
        <v>4</v>
      </c>
      <c r="B5" s="19">
        <v>3016189.9</v>
      </c>
      <c r="C5" s="18">
        <v>44593</v>
      </c>
      <c r="D5" s="15" t="s">
        <v>6</v>
      </c>
      <c r="E5" s="18">
        <v>31776</v>
      </c>
      <c r="F5" s="21">
        <v>49.918540883947905</v>
      </c>
      <c r="G5" s="21" cm="1">
        <f t="array" ref="G5">edadCalc(E5)</f>
        <v>39</v>
      </c>
    </row>
    <row r="6" spans="1:9" x14ac:dyDescent="0.35">
      <c r="A6" s="9">
        <f t="shared" si="0"/>
        <v>5</v>
      </c>
      <c r="B6" s="19">
        <v>747392</v>
      </c>
      <c r="C6" s="18">
        <v>36773</v>
      </c>
      <c r="D6" s="15" t="s">
        <v>5</v>
      </c>
      <c r="E6" s="18">
        <v>29791</v>
      </c>
      <c r="F6" s="21">
        <v>40.226934369279071</v>
      </c>
      <c r="G6" s="21" cm="1">
        <f t="array" ref="G6">edadCalc(E6)</f>
        <v>44</v>
      </c>
    </row>
    <row r="7" spans="1:9" x14ac:dyDescent="0.35">
      <c r="A7" s="9">
        <f t="shared" si="0"/>
        <v>6</v>
      </c>
      <c r="B7" s="19">
        <v>606280</v>
      </c>
      <c r="C7" s="18">
        <v>43920</v>
      </c>
      <c r="D7" s="15" t="s">
        <v>5</v>
      </c>
      <c r="E7" s="18">
        <v>23299</v>
      </c>
      <c r="F7" s="21">
        <v>22.971615304633559</v>
      </c>
      <c r="G7" s="21" cm="1">
        <f t="array" ref="G7">edadCalc(E7)</f>
        <v>62</v>
      </c>
    </row>
    <row r="8" spans="1:9" x14ac:dyDescent="0.35">
      <c r="A8" s="9">
        <f t="shared" si="0"/>
        <v>7</v>
      </c>
      <c r="B8" s="19">
        <v>102495.4</v>
      </c>
      <c r="C8" s="18">
        <v>35681</v>
      </c>
      <c r="D8" s="15" t="s">
        <v>6</v>
      </c>
      <c r="E8" s="18">
        <v>25944</v>
      </c>
      <c r="F8" s="21">
        <v>34.135164360161021</v>
      </c>
      <c r="G8" s="21" cm="1">
        <f t="array" ref="G8">edadCalc(E8)</f>
        <v>54</v>
      </c>
    </row>
    <row r="9" spans="1:9" x14ac:dyDescent="0.35">
      <c r="A9" s="9">
        <f t="shared" si="0"/>
        <v>8</v>
      </c>
      <c r="B9" s="19">
        <v>594545</v>
      </c>
      <c r="C9" s="18">
        <v>40148</v>
      </c>
      <c r="D9" s="15" t="s">
        <v>6</v>
      </c>
      <c r="E9" s="18">
        <v>31751</v>
      </c>
      <c r="F9" s="21">
        <v>49.918540883947905</v>
      </c>
      <c r="G9" s="21" cm="1">
        <f t="array" ref="G9">edadCalc(E9)</f>
        <v>39</v>
      </c>
    </row>
    <row r="10" spans="1:9" x14ac:dyDescent="0.35">
      <c r="A10" s="9">
        <f t="shared" si="0"/>
        <v>9</v>
      </c>
      <c r="B10" s="19">
        <v>791356</v>
      </c>
      <c r="C10" s="18">
        <v>38908</v>
      </c>
      <c r="D10" s="15" t="s">
        <v>6</v>
      </c>
      <c r="E10" s="18">
        <v>29808</v>
      </c>
      <c r="F10" s="21">
        <v>44.5778590925351</v>
      </c>
      <c r="G10" s="21" cm="1">
        <f t="array" ref="G10">edadCalc(E10)</f>
        <v>44</v>
      </c>
    </row>
    <row r="11" spans="1:9" x14ac:dyDescent="0.35">
      <c r="A11" s="9">
        <f t="shared" si="0"/>
        <v>10</v>
      </c>
      <c r="B11" s="19">
        <v>732344.5</v>
      </c>
      <c r="C11" s="18">
        <v>43641</v>
      </c>
      <c r="D11" s="15" t="s">
        <v>6</v>
      </c>
      <c r="E11" s="18">
        <v>30743</v>
      </c>
      <c r="F11" s="21">
        <v>47.776404759356616</v>
      </c>
      <c r="G11" s="21" cm="1">
        <f t="array" ref="G11">edadCalc(E11)</f>
        <v>41</v>
      </c>
    </row>
    <row r="12" spans="1:9" x14ac:dyDescent="0.35">
      <c r="A12" s="9">
        <f t="shared" si="0"/>
        <v>11</v>
      </c>
      <c r="B12" s="19">
        <v>930533.5</v>
      </c>
      <c r="C12" s="18">
        <v>39083</v>
      </c>
      <c r="D12" s="15" t="s">
        <v>6</v>
      </c>
      <c r="E12" s="18">
        <v>30552</v>
      </c>
      <c r="F12" s="21">
        <v>46.708036110635952</v>
      </c>
      <c r="G12" s="21" cm="1">
        <f t="array" ref="G12">edadCalc(E12)</f>
        <v>42</v>
      </c>
    </row>
    <row r="13" spans="1:9" x14ac:dyDescent="0.35">
      <c r="A13" s="9">
        <f t="shared" si="0"/>
        <v>12</v>
      </c>
      <c r="B13" s="19">
        <v>2369743.25</v>
      </c>
      <c r="C13" s="18">
        <v>37681</v>
      </c>
      <c r="D13" s="15" t="s">
        <v>6</v>
      </c>
      <c r="E13" s="18">
        <v>25394</v>
      </c>
      <c r="F13" s="21">
        <v>32.10277953786342</v>
      </c>
      <c r="G13" s="21" cm="1">
        <f t="array" ref="G13">edadCalc(E13)</f>
        <v>56</v>
      </c>
    </row>
    <row r="14" spans="1:9" x14ac:dyDescent="0.35">
      <c r="A14" s="9">
        <f t="shared" si="0"/>
        <v>13</v>
      </c>
      <c r="B14" s="19">
        <v>705894</v>
      </c>
      <c r="C14" s="18">
        <v>40562</v>
      </c>
      <c r="D14" s="15" t="s">
        <v>6</v>
      </c>
      <c r="E14" s="18">
        <v>30193</v>
      </c>
      <c r="F14" s="21">
        <v>45.641752242691531</v>
      </c>
      <c r="G14" s="21" cm="1">
        <f t="array" ref="G14">edadCalc(E14)</f>
        <v>43</v>
      </c>
    </row>
    <row r="15" spans="1:9" x14ac:dyDescent="0.35">
      <c r="A15" s="9">
        <f t="shared" si="0"/>
        <v>14</v>
      </c>
      <c r="B15" s="19">
        <v>668902.30000000005</v>
      </c>
      <c r="C15" s="18">
        <v>40865</v>
      </c>
      <c r="D15" s="15" t="s">
        <v>6</v>
      </c>
      <c r="E15" s="18">
        <v>32868</v>
      </c>
      <c r="F15" s="21">
        <v>53.14350544340838</v>
      </c>
      <c r="G15" s="21" cm="1">
        <f t="array" ref="G15">edadCalc(E15)</f>
        <v>36</v>
      </c>
    </row>
    <row r="16" spans="1:9" x14ac:dyDescent="0.35">
      <c r="A16" s="9">
        <f t="shared" si="0"/>
        <v>15</v>
      </c>
      <c r="B16" s="19">
        <v>1580039</v>
      </c>
      <c r="C16" s="18">
        <v>40878</v>
      </c>
      <c r="D16" s="15" t="s">
        <v>6</v>
      </c>
      <c r="E16" s="18">
        <v>31047</v>
      </c>
      <c r="F16" s="21">
        <v>47.776404759356616</v>
      </c>
      <c r="G16" s="21" cm="1">
        <f t="array" ref="G16">edadCalc(E16)</f>
        <v>41</v>
      </c>
    </row>
    <row r="17" spans="1:7" x14ac:dyDescent="0.35">
      <c r="A17" s="9">
        <f t="shared" si="0"/>
        <v>16</v>
      </c>
      <c r="B17" s="19">
        <v>390108.34</v>
      </c>
      <c r="C17" s="18">
        <v>40938</v>
      </c>
      <c r="D17" s="15" t="s">
        <v>6</v>
      </c>
      <c r="E17" s="18">
        <v>29047</v>
      </c>
      <c r="F17" s="21">
        <v>42.459434477038705</v>
      </c>
      <c r="G17" s="21" cm="1">
        <f t="array" ref="G17">edadCalc(E17)</f>
        <v>46</v>
      </c>
    </row>
    <row r="18" spans="1:7" x14ac:dyDescent="0.35">
      <c r="A18" s="9">
        <f t="shared" si="0"/>
        <v>17</v>
      </c>
      <c r="B18" s="19">
        <v>1652808.8</v>
      </c>
      <c r="C18" s="18">
        <v>41064</v>
      </c>
      <c r="D18" s="15" t="s">
        <v>6</v>
      </c>
      <c r="E18" s="18">
        <v>29283</v>
      </c>
      <c r="F18" s="21">
        <v>43.516970221614415</v>
      </c>
      <c r="G18" s="21" cm="1">
        <f t="array" ref="G18">edadCalc(E18)</f>
        <v>45</v>
      </c>
    </row>
    <row r="19" spans="1:7" x14ac:dyDescent="0.35">
      <c r="A19" s="9">
        <f t="shared" si="0"/>
        <v>18</v>
      </c>
      <c r="B19" s="19">
        <v>108080.75</v>
      </c>
      <c r="C19" s="18">
        <v>41074</v>
      </c>
      <c r="D19" s="15" t="s">
        <v>5</v>
      </c>
      <c r="E19" s="18">
        <v>31991</v>
      </c>
      <c r="F19" s="21">
        <v>46.372251474501553</v>
      </c>
      <c r="G19" s="21" cm="1">
        <f t="array" ref="G19">edadCalc(E19)</f>
        <v>38</v>
      </c>
    </row>
    <row r="20" spans="1:7" x14ac:dyDescent="0.35">
      <c r="A20" s="9">
        <f t="shared" si="0"/>
        <v>19</v>
      </c>
      <c r="B20" s="19">
        <v>808180</v>
      </c>
      <c r="C20" s="18">
        <v>41091</v>
      </c>
      <c r="D20" s="15" t="s">
        <v>6</v>
      </c>
      <c r="E20" s="18">
        <v>32954</v>
      </c>
      <c r="F20" s="21">
        <v>54.221478258522609</v>
      </c>
      <c r="G20" s="21" cm="1">
        <f t="array" ref="G20">edadCalc(E20)</f>
        <v>35</v>
      </c>
    </row>
    <row r="21" spans="1:7" x14ac:dyDescent="0.35">
      <c r="A21" s="9">
        <f t="shared" si="0"/>
        <v>20</v>
      </c>
      <c r="B21" s="19">
        <v>1535903.6</v>
      </c>
      <c r="C21" s="18">
        <v>42772</v>
      </c>
      <c r="D21" s="15" t="s">
        <v>5</v>
      </c>
      <c r="E21" s="18">
        <v>33261</v>
      </c>
      <c r="F21" s="21">
        <v>50.52270681003921</v>
      </c>
      <c r="G21" s="21" cm="1">
        <f t="array" ref="G21">edadCalc(E21)</f>
        <v>34</v>
      </c>
    </row>
    <row r="22" spans="1:7" x14ac:dyDescent="0.35">
      <c r="A22" s="9">
        <f t="shared" si="0"/>
        <v>21</v>
      </c>
      <c r="B22" s="19">
        <v>9025.61</v>
      </c>
      <c r="C22" s="18">
        <v>41290</v>
      </c>
      <c r="D22" s="15" t="s">
        <v>6</v>
      </c>
      <c r="E22" s="18">
        <v>32357</v>
      </c>
      <c r="F22" s="21">
        <v>52.066974680425012</v>
      </c>
      <c r="G22" s="21" cm="1">
        <f t="array" ref="G22">edadCalc(E22)</f>
        <v>37</v>
      </c>
    </row>
    <row r="23" spans="1:7" x14ac:dyDescent="0.35">
      <c r="A23" s="9">
        <f t="shared" si="0"/>
        <v>22</v>
      </c>
      <c r="B23" s="19">
        <v>660028</v>
      </c>
      <c r="C23" s="18">
        <v>41302</v>
      </c>
      <c r="D23" s="15" t="s">
        <v>5</v>
      </c>
      <c r="E23" s="18">
        <v>34628</v>
      </c>
      <c r="F23" s="21">
        <v>53.638201851667247</v>
      </c>
      <c r="G23" s="21" cm="1">
        <f t="array" ref="G23">edadCalc(E23)</f>
        <v>31</v>
      </c>
    </row>
    <row r="24" spans="1:7" x14ac:dyDescent="0.35">
      <c r="A24" s="9">
        <f t="shared" si="0"/>
        <v>23</v>
      </c>
      <c r="B24" s="19">
        <v>2122756.7999999998</v>
      </c>
      <c r="C24" s="18">
        <v>41316</v>
      </c>
      <c r="D24" s="15" t="s">
        <v>6</v>
      </c>
      <c r="E24" s="18">
        <v>32746</v>
      </c>
      <c r="F24" s="21">
        <v>53.14350544340838</v>
      </c>
      <c r="G24" s="21" cm="1">
        <f t="array" ref="G24">edadCalc(E24)</f>
        <v>36</v>
      </c>
    </row>
    <row r="25" spans="1:7" x14ac:dyDescent="0.35">
      <c r="A25" s="9">
        <f t="shared" si="0"/>
        <v>24</v>
      </c>
      <c r="B25" s="19">
        <v>697908.55</v>
      </c>
      <c r="C25" s="18">
        <v>41344</v>
      </c>
      <c r="D25" s="15" t="s">
        <v>5</v>
      </c>
      <c r="E25" s="18">
        <v>28197</v>
      </c>
      <c r="F25" s="21">
        <v>36.198137848957074</v>
      </c>
      <c r="G25" s="21" cm="1">
        <f t="array" ref="G25">edadCalc(E25)</f>
        <v>48</v>
      </c>
    </row>
    <row r="26" spans="1:7" x14ac:dyDescent="0.35">
      <c r="A26" s="9">
        <f t="shared" si="0"/>
        <v>25</v>
      </c>
      <c r="B26" s="19">
        <v>737174.1</v>
      </c>
      <c r="C26" s="18">
        <v>41369</v>
      </c>
      <c r="D26" s="15" t="s">
        <v>6</v>
      </c>
      <c r="E26" s="18">
        <v>27663</v>
      </c>
      <c r="F26" s="21">
        <v>38.264228173978282</v>
      </c>
      <c r="G26" s="21" cm="1">
        <f t="array" ref="G26">edadCalc(E26)</f>
        <v>50</v>
      </c>
    </row>
    <row r="27" spans="1:7" x14ac:dyDescent="0.35">
      <c r="A27" s="9">
        <f t="shared" si="0"/>
        <v>26</v>
      </c>
      <c r="B27" s="19">
        <v>526815.69999999995</v>
      </c>
      <c r="C27" s="18">
        <v>45047</v>
      </c>
      <c r="D27" s="15" t="s">
        <v>6</v>
      </c>
      <c r="E27" s="18">
        <v>34533</v>
      </c>
      <c r="F27" s="21">
        <v>58.54338628503988</v>
      </c>
      <c r="G27" s="21" cm="1">
        <f t="array" ref="G27">edadCalc(E27)</f>
        <v>31</v>
      </c>
    </row>
    <row r="28" spans="1:7" x14ac:dyDescent="0.35">
      <c r="A28" s="9">
        <f t="shared" si="0"/>
        <v>27</v>
      </c>
      <c r="B28" s="19">
        <v>1646110</v>
      </c>
      <c r="C28" s="18">
        <v>44682</v>
      </c>
      <c r="D28" s="15" t="s">
        <v>6</v>
      </c>
      <c r="E28" s="18">
        <v>33843</v>
      </c>
      <c r="F28" s="21">
        <v>56.380568080323478</v>
      </c>
      <c r="G28" s="21" cm="1">
        <f t="array" ref="G28">edadCalc(E28)</f>
        <v>33</v>
      </c>
    </row>
    <row r="29" spans="1:7" x14ac:dyDescent="0.35">
      <c r="A29" s="9">
        <f t="shared" si="0"/>
        <v>28</v>
      </c>
      <c r="B29" s="19">
        <v>1760041</v>
      </c>
      <c r="C29" s="18">
        <v>41435</v>
      </c>
      <c r="D29" s="15" t="s">
        <v>5</v>
      </c>
      <c r="E29" s="18">
        <v>32171</v>
      </c>
      <c r="F29" s="21">
        <v>47.408100340778319</v>
      </c>
      <c r="G29" s="21" cm="1">
        <f t="array" ref="G29">edadCalc(E29)</f>
        <v>37</v>
      </c>
    </row>
    <row r="30" spans="1:7" x14ac:dyDescent="0.35">
      <c r="A30" s="9">
        <f t="shared" si="0"/>
        <v>29</v>
      </c>
      <c r="B30" s="19">
        <v>494037.45</v>
      </c>
      <c r="C30" s="18">
        <v>41444</v>
      </c>
      <c r="D30" s="15" t="s">
        <v>6</v>
      </c>
      <c r="E30" s="18">
        <v>28187</v>
      </c>
      <c r="F30" s="21">
        <v>40.354889008960043</v>
      </c>
      <c r="G30" s="21" cm="1">
        <f t="array" ref="G30">edadCalc(E30)</f>
        <v>48</v>
      </c>
    </row>
    <row r="31" spans="1:7" x14ac:dyDescent="0.35">
      <c r="A31" s="9">
        <f t="shared" si="0"/>
        <v>30</v>
      </c>
      <c r="B31" s="19">
        <v>1554317.5</v>
      </c>
      <c r="C31" s="18">
        <v>42370</v>
      </c>
      <c r="D31" s="15" t="s">
        <v>6</v>
      </c>
      <c r="E31" s="18">
        <v>29081</v>
      </c>
      <c r="F31" s="21">
        <v>42.459434477038705</v>
      </c>
      <c r="G31" s="21" cm="1">
        <f t="array" ref="G31">edadCalc(E31)</f>
        <v>46</v>
      </c>
    </row>
    <row r="32" spans="1:7" x14ac:dyDescent="0.35">
      <c r="A32" s="9">
        <f t="shared" si="0"/>
        <v>31</v>
      </c>
      <c r="B32" s="19">
        <v>559340</v>
      </c>
      <c r="C32" s="18">
        <v>42156</v>
      </c>
      <c r="D32" s="15" t="s">
        <v>5</v>
      </c>
      <c r="E32" s="18">
        <v>29125</v>
      </c>
      <c r="F32" s="21">
        <v>38.204886974416027</v>
      </c>
      <c r="G32" s="21" cm="1">
        <f t="array" ref="G32">edadCalc(E32)</f>
        <v>46</v>
      </c>
    </row>
    <row r="33" spans="1:7" x14ac:dyDescent="0.35">
      <c r="A33" s="9">
        <f t="shared" si="0"/>
        <v>32</v>
      </c>
      <c r="B33" s="19">
        <v>1841908.5</v>
      </c>
      <c r="C33" s="18">
        <v>42065</v>
      </c>
      <c r="D33" s="15" t="s">
        <v>6</v>
      </c>
      <c r="E33" s="18">
        <v>29927</v>
      </c>
      <c r="F33" s="21">
        <v>44.5778590925351</v>
      </c>
      <c r="G33" s="21" cm="1">
        <f t="array" ref="G33">edadCalc(E33)</f>
        <v>44</v>
      </c>
    </row>
    <row r="34" spans="1:7" x14ac:dyDescent="0.35">
      <c r="A34" s="9">
        <f t="shared" si="0"/>
        <v>33</v>
      </c>
      <c r="B34" s="19">
        <v>3146274.1</v>
      </c>
      <c r="C34" s="18">
        <v>42065</v>
      </c>
      <c r="D34" s="15" t="s">
        <v>5</v>
      </c>
      <c r="E34" s="18">
        <v>31876</v>
      </c>
      <c r="F34" s="21">
        <v>46.372251474501553</v>
      </c>
      <c r="G34" s="21" cm="1">
        <f t="array" ref="G34">edadCalc(E34)</f>
        <v>38</v>
      </c>
    </row>
    <row r="35" spans="1:7" x14ac:dyDescent="0.35">
      <c r="A35" s="9">
        <f t="shared" si="0"/>
        <v>34</v>
      </c>
      <c r="B35" s="19">
        <v>982581</v>
      </c>
      <c r="C35" s="18">
        <v>42065</v>
      </c>
      <c r="D35" s="15" t="s">
        <v>5</v>
      </c>
      <c r="E35" s="18">
        <v>29164</v>
      </c>
      <c r="F35" s="21">
        <v>38.204886974416027</v>
      </c>
      <c r="G35" s="21" cm="1">
        <f t="array" ref="G35">edadCalc(E35)</f>
        <v>46</v>
      </c>
    </row>
    <row r="36" spans="1:7" x14ac:dyDescent="0.35">
      <c r="A36" s="9">
        <f t="shared" si="0"/>
        <v>35</v>
      </c>
      <c r="B36" s="19">
        <v>527254.73</v>
      </c>
      <c r="C36" s="18">
        <v>42065</v>
      </c>
      <c r="D36" s="15" t="s">
        <v>6</v>
      </c>
      <c r="E36" s="18">
        <v>28087</v>
      </c>
      <c r="F36" s="21">
        <v>39.307725722036096</v>
      </c>
      <c r="G36" s="21" cm="1">
        <f t="array" ref="G36">edadCalc(E36)</f>
        <v>49</v>
      </c>
    </row>
    <row r="37" spans="1:7" x14ac:dyDescent="0.35">
      <c r="A37" s="9">
        <f t="shared" si="0"/>
        <v>36</v>
      </c>
      <c r="B37" s="19">
        <v>445621.25</v>
      </c>
      <c r="C37" s="18">
        <v>42065</v>
      </c>
      <c r="D37" s="15" t="s">
        <v>6</v>
      </c>
      <c r="E37" s="18">
        <v>28886</v>
      </c>
      <c r="F37" s="21">
        <v>42.459434477038705</v>
      </c>
      <c r="G37" s="21" cm="1">
        <f t="array" ref="G37">edadCalc(E37)</f>
        <v>46</v>
      </c>
    </row>
    <row r="38" spans="1:7" x14ac:dyDescent="0.35">
      <c r="A38" s="9">
        <f t="shared" si="0"/>
        <v>37</v>
      </c>
      <c r="B38" s="19">
        <v>668348.5</v>
      </c>
      <c r="C38" s="18">
        <v>41518</v>
      </c>
      <c r="D38" s="15" t="s">
        <v>6</v>
      </c>
      <c r="E38" s="18">
        <v>34203</v>
      </c>
      <c r="F38" s="21">
        <v>57.461511670365518</v>
      </c>
      <c r="G38" s="21" cm="1">
        <f t="array" ref="G38">edadCalc(E38)</f>
        <v>32</v>
      </c>
    </row>
    <row r="39" spans="1:7" x14ac:dyDescent="0.35">
      <c r="A39" s="9">
        <f t="shared" si="0"/>
        <v>38</v>
      </c>
      <c r="B39" s="19">
        <v>855448</v>
      </c>
      <c r="C39" s="18">
        <v>41522</v>
      </c>
      <c r="D39" s="15" t="s">
        <v>6</v>
      </c>
      <c r="E39" s="18">
        <v>31792</v>
      </c>
      <c r="F39" s="21">
        <v>50.99197863939898</v>
      </c>
      <c r="G39" s="21" cm="1">
        <f t="array" ref="G39">edadCalc(E39)</f>
        <v>38</v>
      </c>
    </row>
    <row r="40" spans="1:7" x14ac:dyDescent="0.35">
      <c r="A40" s="9">
        <f t="shared" si="0"/>
        <v>39</v>
      </c>
      <c r="B40" s="19">
        <v>1562836.6</v>
      </c>
      <c r="C40" s="18">
        <v>41652</v>
      </c>
      <c r="D40" s="15" t="s">
        <v>5</v>
      </c>
      <c r="E40" s="18">
        <v>34075</v>
      </c>
      <c r="F40" s="21">
        <v>52.599531014555119</v>
      </c>
      <c r="G40" s="21" cm="1">
        <f t="array" ref="G40">edadCalc(E40)</f>
        <v>32</v>
      </c>
    </row>
    <row r="41" spans="1:7" x14ac:dyDescent="0.35">
      <c r="A41" s="9">
        <f t="shared" si="0"/>
        <v>40</v>
      </c>
      <c r="B41" s="19">
        <v>779249</v>
      </c>
      <c r="C41" s="18">
        <v>41673</v>
      </c>
      <c r="D41" s="15" t="s">
        <v>6</v>
      </c>
      <c r="E41" s="18">
        <v>31645</v>
      </c>
      <c r="F41" s="21">
        <v>49.918540883947905</v>
      </c>
      <c r="G41" s="21" cm="1">
        <f t="array" ref="G41">edadCalc(E41)</f>
        <v>39</v>
      </c>
    </row>
    <row r="42" spans="1:7" x14ac:dyDescent="0.35">
      <c r="A42" s="9">
        <f t="shared" si="0"/>
        <v>41</v>
      </c>
      <c r="B42" s="19">
        <v>806438</v>
      </c>
      <c r="C42" s="18">
        <v>41554</v>
      </c>
      <c r="D42" s="15" t="s">
        <v>6</v>
      </c>
      <c r="E42" s="18">
        <v>24939</v>
      </c>
      <c r="F42" s="21">
        <v>31.096347758980656</v>
      </c>
      <c r="G42" s="21" cm="1">
        <f t="array" ref="G42">edadCalc(E42)</f>
        <v>57</v>
      </c>
    </row>
    <row r="43" spans="1:7" x14ac:dyDescent="0.35">
      <c r="A43" s="9">
        <f t="shared" si="0"/>
        <v>42</v>
      </c>
      <c r="B43" s="19">
        <v>566986.4</v>
      </c>
      <c r="C43" s="18">
        <v>41603</v>
      </c>
      <c r="D43" s="15" t="s">
        <v>6</v>
      </c>
      <c r="E43" s="18">
        <v>31397</v>
      </c>
      <c r="F43" s="21">
        <v>48.846644248579132</v>
      </c>
      <c r="G43" s="21" cm="1">
        <f t="array" ref="G43">edadCalc(E43)</f>
        <v>40</v>
      </c>
    </row>
    <row r="44" spans="1:7" x14ac:dyDescent="0.35">
      <c r="A44" s="9">
        <f t="shared" si="0"/>
        <v>43</v>
      </c>
      <c r="B44" s="19">
        <v>2219905.7000000002</v>
      </c>
      <c r="C44" s="18">
        <v>43850</v>
      </c>
      <c r="D44" s="15" t="s">
        <v>5</v>
      </c>
      <c r="E44" s="18">
        <v>33196</v>
      </c>
      <c r="F44" s="21">
        <v>49.484228029380745</v>
      </c>
      <c r="G44" s="21" cm="1">
        <f t="array" ref="G44">edadCalc(E44)</f>
        <v>35</v>
      </c>
    </row>
    <row r="45" spans="1:7" x14ac:dyDescent="0.35">
      <c r="A45" s="9">
        <f t="shared" si="0"/>
        <v>44</v>
      </c>
      <c r="B45" s="19">
        <v>3250699.5</v>
      </c>
      <c r="C45" s="18">
        <v>41631</v>
      </c>
      <c r="D45" s="15" t="s">
        <v>5</v>
      </c>
      <c r="E45" s="18">
        <v>33751</v>
      </c>
      <c r="F45" s="21">
        <v>51.561068751399539</v>
      </c>
      <c r="G45" s="21" cm="1">
        <f t="array" ref="G45">edadCalc(E45)</f>
        <v>33</v>
      </c>
    </row>
    <row r="46" spans="1:7" x14ac:dyDescent="0.35">
      <c r="A46" s="9">
        <f t="shared" si="0"/>
        <v>45</v>
      </c>
      <c r="B46" s="19">
        <v>1922135.2</v>
      </c>
      <c r="C46" s="18">
        <v>41652</v>
      </c>
      <c r="D46" s="15" t="s">
        <v>5</v>
      </c>
      <c r="E46" s="18">
        <v>32260</v>
      </c>
      <c r="F46" s="21">
        <v>47.408100340778319</v>
      </c>
      <c r="G46" s="21" cm="1">
        <f t="array" ref="G46">edadCalc(E46)</f>
        <v>37</v>
      </c>
    </row>
    <row r="47" spans="1:7" x14ac:dyDescent="0.35">
      <c r="A47" s="9">
        <f t="shared" si="0"/>
        <v>46</v>
      </c>
      <c r="B47" s="19">
        <v>1961283.8</v>
      </c>
      <c r="C47" s="18">
        <v>44682</v>
      </c>
      <c r="D47" s="15" t="s">
        <v>5</v>
      </c>
      <c r="E47" s="18">
        <v>33173</v>
      </c>
      <c r="F47" s="21">
        <v>49.484228029380745</v>
      </c>
      <c r="G47" s="21" cm="1">
        <f t="array" ref="G47">edadCalc(E47)</f>
        <v>35</v>
      </c>
    </row>
    <row r="48" spans="1:7" x14ac:dyDescent="0.35">
      <c r="A48" s="9">
        <f t="shared" si="0"/>
        <v>47</v>
      </c>
      <c r="B48" s="19">
        <v>2310707</v>
      </c>
      <c r="C48" s="18">
        <v>41701</v>
      </c>
      <c r="D48" s="15" t="s">
        <v>6</v>
      </c>
      <c r="E48" s="18">
        <v>31801</v>
      </c>
      <c r="F48" s="21">
        <v>50.99197863939898</v>
      </c>
      <c r="G48" s="21" cm="1">
        <f t="array" ref="G48">edadCalc(E48)</f>
        <v>38</v>
      </c>
    </row>
    <row r="49" spans="1:7" x14ac:dyDescent="0.35">
      <c r="A49" s="9">
        <f t="shared" si="0"/>
        <v>48</v>
      </c>
      <c r="B49" s="19">
        <v>673794.25</v>
      </c>
      <c r="C49" s="18">
        <v>41757</v>
      </c>
      <c r="D49" s="15" t="s">
        <v>5</v>
      </c>
      <c r="E49" s="18">
        <v>32695</v>
      </c>
      <c r="F49" s="21">
        <v>48.445727179510286</v>
      </c>
      <c r="G49" s="21" cm="1">
        <f t="array" ref="G49">edadCalc(E49)</f>
        <v>36</v>
      </c>
    </row>
    <row r="50" spans="1:7" x14ac:dyDescent="0.35">
      <c r="A50" s="9">
        <f t="shared" si="0"/>
        <v>49</v>
      </c>
      <c r="B50" s="19">
        <v>1429496.5</v>
      </c>
      <c r="C50" s="18">
        <v>41787</v>
      </c>
      <c r="D50" s="15" t="s">
        <v>6</v>
      </c>
      <c r="E50" s="18">
        <v>30006</v>
      </c>
      <c r="F50" s="21">
        <v>45.641752242691531</v>
      </c>
      <c r="G50" s="21" cm="1">
        <f t="array" ref="G50">edadCalc(E50)</f>
        <v>43</v>
      </c>
    </row>
    <row r="51" spans="1:7" x14ac:dyDescent="0.35">
      <c r="A51" s="9">
        <f t="shared" si="0"/>
        <v>50</v>
      </c>
      <c r="B51" s="19">
        <v>641485</v>
      </c>
      <c r="C51" s="18">
        <v>41806</v>
      </c>
      <c r="D51" s="15" t="s">
        <v>5</v>
      </c>
      <c r="E51" s="18">
        <v>31831</v>
      </c>
      <c r="F51" s="21">
        <v>46.372251474501553</v>
      </c>
      <c r="G51" s="21" cm="1">
        <f t="array" ref="G51">edadCalc(E51)</f>
        <v>38</v>
      </c>
    </row>
    <row r="52" spans="1:7" x14ac:dyDescent="0.35">
      <c r="A52" s="9">
        <f t="shared" si="0"/>
        <v>51</v>
      </c>
      <c r="B52" s="19">
        <v>713149.7</v>
      </c>
      <c r="C52" s="18">
        <v>41834</v>
      </c>
      <c r="D52" s="15" t="s">
        <v>5</v>
      </c>
      <c r="E52" s="18">
        <v>31633</v>
      </c>
      <c r="F52" s="21">
        <v>45.338951219417901</v>
      </c>
      <c r="G52" s="21" cm="1">
        <f t="array" ref="G52">edadCalc(E52)</f>
        <v>39</v>
      </c>
    </row>
    <row r="53" spans="1:7" x14ac:dyDescent="0.35">
      <c r="A53" s="9">
        <f t="shared" si="0"/>
        <v>52</v>
      </c>
      <c r="B53" s="19">
        <v>2174111.6</v>
      </c>
      <c r="C53" s="18">
        <v>41848</v>
      </c>
      <c r="D53" s="15" t="s">
        <v>6</v>
      </c>
      <c r="E53" s="18">
        <v>28090</v>
      </c>
      <c r="F53" s="21">
        <v>39.307725722036096</v>
      </c>
      <c r="G53" s="21" cm="1">
        <f t="array" ref="G53">edadCalc(E53)</f>
        <v>49</v>
      </c>
    </row>
    <row r="54" spans="1:7" x14ac:dyDescent="0.35">
      <c r="A54" s="9">
        <f t="shared" si="0"/>
        <v>53</v>
      </c>
      <c r="B54" s="19">
        <v>1883770.4</v>
      </c>
      <c r="C54" s="18">
        <v>41862</v>
      </c>
      <c r="D54" s="15" t="s">
        <v>6</v>
      </c>
      <c r="E54" s="18">
        <v>28425</v>
      </c>
      <c r="F54" s="21">
        <v>40.354889008960043</v>
      </c>
      <c r="G54" s="21" cm="1">
        <f t="array" ref="G54">edadCalc(E54)</f>
        <v>48</v>
      </c>
    </row>
    <row r="55" spans="1:7" x14ac:dyDescent="0.35">
      <c r="A55" s="9">
        <f t="shared" si="0"/>
        <v>54</v>
      </c>
      <c r="B55" s="19">
        <v>1920202.69</v>
      </c>
      <c r="C55" s="18">
        <v>41879</v>
      </c>
      <c r="D55" s="15" t="s">
        <v>6</v>
      </c>
      <c r="E55" s="18">
        <v>31732</v>
      </c>
      <c r="F55" s="21">
        <v>49.918540883947905</v>
      </c>
      <c r="G55" s="21" cm="1">
        <f t="array" ref="G55">edadCalc(E55)</f>
        <v>39</v>
      </c>
    </row>
    <row r="56" spans="1:7" x14ac:dyDescent="0.35">
      <c r="A56" s="9">
        <f t="shared" si="0"/>
        <v>55</v>
      </c>
      <c r="B56" s="19">
        <v>1844754.4</v>
      </c>
      <c r="C56" s="18">
        <v>42079</v>
      </c>
      <c r="D56" s="15" t="s">
        <v>6</v>
      </c>
      <c r="E56" s="18">
        <v>33131</v>
      </c>
      <c r="F56" s="21">
        <v>54.221478258522609</v>
      </c>
      <c r="G56" s="21" cm="1">
        <f t="array" ref="G56">edadCalc(E56)</f>
        <v>35</v>
      </c>
    </row>
    <row r="57" spans="1:7" x14ac:dyDescent="0.35">
      <c r="A57" s="9">
        <f t="shared" si="0"/>
        <v>56</v>
      </c>
      <c r="B57" s="19">
        <v>1645001.6</v>
      </c>
      <c r="C57" s="18">
        <v>42108</v>
      </c>
      <c r="D57" s="15" t="s">
        <v>6</v>
      </c>
      <c r="E57" s="18">
        <v>33153</v>
      </c>
      <c r="F57" s="21">
        <v>54.221478258522609</v>
      </c>
      <c r="G57" s="21" cm="1">
        <f t="array" ref="G57">edadCalc(E57)</f>
        <v>35</v>
      </c>
    </row>
    <row r="58" spans="1:7" x14ac:dyDescent="0.35">
      <c r="A58" s="9">
        <f t="shared" si="0"/>
        <v>57</v>
      </c>
      <c r="B58" s="19">
        <v>776500.5</v>
      </c>
      <c r="C58" s="18">
        <v>42177</v>
      </c>
      <c r="D58" s="15" t="s">
        <v>6</v>
      </c>
      <c r="E58" s="18">
        <v>33373</v>
      </c>
      <c r="F58" s="21">
        <v>55.300534903292863</v>
      </c>
      <c r="G58" s="21" cm="1">
        <f t="array" ref="G58">edadCalc(E58)</f>
        <v>34</v>
      </c>
    </row>
    <row r="59" spans="1:7" x14ac:dyDescent="0.35">
      <c r="A59" s="9">
        <f t="shared" si="0"/>
        <v>58</v>
      </c>
      <c r="B59" s="19">
        <v>802866</v>
      </c>
      <c r="C59" s="18">
        <v>42384</v>
      </c>
      <c r="D59" s="15" t="s">
        <v>5</v>
      </c>
      <c r="E59" s="18">
        <v>33058</v>
      </c>
      <c r="F59" s="21">
        <v>49.484228029380745</v>
      </c>
      <c r="G59" s="21" cm="1">
        <f t="array" ref="G59">edadCalc(E59)</f>
        <v>35</v>
      </c>
    </row>
    <row r="60" spans="1:7" x14ac:dyDescent="0.35">
      <c r="A60" s="9">
        <f t="shared" si="0"/>
        <v>59</v>
      </c>
      <c r="B60" s="19">
        <v>596527.65</v>
      </c>
      <c r="C60" s="18">
        <v>42282</v>
      </c>
      <c r="D60" s="15" t="s">
        <v>5</v>
      </c>
      <c r="E60" s="18">
        <v>31324</v>
      </c>
      <c r="F60" s="21">
        <v>44.308741050989077</v>
      </c>
      <c r="G60" s="21" cm="1">
        <f t="array" ref="G60">edadCalc(E60)</f>
        <v>40</v>
      </c>
    </row>
    <row r="61" spans="1:7" x14ac:dyDescent="0.35">
      <c r="A61" s="9">
        <f t="shared" si="0"/>
        <v>60</v>
      </c>
      <c r="B61" s="19">
        <v>446583.35</v>
      </c>
      <c r="C61" s="18">
        <v>42373</v>
      </c>
      <c r="D61" s="15" t="s">
        <v>6</v>
      </c>
      <c r="E61" s="18">
        <v>31291</v>
      </c>
      <c r="F61" s="21">
        <v>48.846644248579132</v>
      </c>
      <c r="G61" s="21" cm="1">
        <f t="array" ref="G61">edadCalc(E61)</f>
        <v>40</v>
      </c>
    </row>
    <row r="62" spans="1:7" x14ac:dyDescent="0.35">
      <c r="A62" s="9">
        <f t="shared" si="0"/>
        <v>61</v>
      </c>
      <c r="B62" s="19">
        <v>506678.9</v>
      </c>
      <c r="C62" s="18">
        <v>42625</v>
      </c>
      <c r="D62" s="15" t="s">
        <v>6</v>
      </c>
      <c r="E62" s="18">
        <v>33999</v>
      </c>
      <c r="F62" s="21">
        <v>57.461511670365518</v>
      </c>
      <c r="G62" s="21" cm="1">
        <f t="array" ref="G62">edadCalc(E62)</f>
        <v>32</v>
      </c>
    </row>
    <row r="63" spans="1:7" x14ac:dyDescent="0.35">
      <c r="A63" s="9">
        <f t="shared" si="0"/>
        <v>62</v>
      </c>
      <c r="B63" s="19">
        <v>816285.34</v>
      </c>
      <c r="C63" s="18">
        <v>42522</v>
      </c>
      <c r="D63" s="15" t="s">
        <v>5</v>
      </c>
      <c r="E63" s="18">
        <v>33532</v>
      </c>
      <c r="F63" s="21">
        <v>50.52270681003921</v>
      </c>
      <c r="G63" s="21" cm="1">
        <f t="array" ref="G63">edadCalc(E63)</f>
        <v>34</v>
      </c>
    </row>
    <row r="64" spans="1:7" x14ac:dyDescent="0.35">
      <c r="A64" s="9">
        <f t="shared" si="0"/>
        <v>63</v>
      </c>
      <c r="B64" s="19">
        <v>774923</v>
      </c>
      <c r="C64" s="18">
        <v>45566</v>
      </c>
      <c r="D64" s="15" t="s">
        <v>5</v>
      </c>
      <c r="E64" s="18">
        <v>33357</v>
      </c>
      <c r="F64" s="21">
        <v>50.52270681003921</v>
      </c>
      <c r="G64" s="21" cm="1">
        <f t="array" ref="G64">edadCalc(E64)</f>
        <v>34</v>
      </c>
    </row>
    <row r="65" spans="1:7" x14ac:dyDescent="0.35">
      <c r="A65" s="9">
        <f t="shared" si="0"/>
        <v>64</v>
      </c>
      <c r="B65" s="19">
        <v>366008.15</v>
      </c>
      <c r="C65" s="18">
        <v>42605</v>
      </c>
      <c r="D65" s="15" t="s">
        <v>5</v>
      </c>
      <c r="E65" s="18">
        <v>27793</v>
      </c>
      <c r="F65" s="21">
        <v>35.203341773758538</v>
      </c>
      <c r="G65" s="21" cm="1">
        <f t="array" ref="G65">edadCalc(E65)</f>
        <v>49</v>
      </c>
    </row>
    <row r="66" spans="1:7" x14ac:dyDescent="0.35">
      <c r="A66" s="9">
        <f t="shared" si="0"/>
        <v>65</v>
      </c>
      <c r="B66" s="19">
        <v>660469.75</v>
      </c>
      <c r="C66" s="18">
        <v>42585</v>
      </c>
      <c r="D66" s="15" t="s">
        <v>5</v>
      </c>
      <c r="E66" s="18">
        <v>32812</v>
      </c>
      <c r="F66" s="21">
        <v>48.445727179510286</v>
      </c>
      <c r="G66" s="21" cm="1">
        <f t="array" ref="G66">edadCalc(E66)</f>
        <v>36</v>
      </c>
    </row>
    <row r="67" spans="1:7" x14ac:dyDescent="0.35">
      <c r="A67" s="9">
        <f t="shared" si="0"/>
        <v>66</v>
      </c>
      <c r="B67" s="19">
        <v>164482.85</v>
      </c>
      <c r="C67" s="18">
        <v>44621</v>
      </c>
      <c r="D67" s="15" t="s">
        <v>6</v>
      </c>
      <c r="E67" s="18">
        <v>36272</v>
      </c>
      <c r="F67" s="21">
        <v>63.956745179223539</v>
      </c>
      <c r="G67" s="21" cm="1">
        <f t="array" ref="G67">edadCalc(E67)</f>
        <v>26</v>
      </c>
    </row>
    <row r="68" spans="1:7" x14ac:dyDescent="0.35">
      <c r="A68" s="9">
        <f t="shared" ref="A68:A131" si="1">+A67+1</f>
        <v>67</v>
      </c>
      <c r="B68" s="19">
        <v>486202</v>
      </c>
      <c r="C68" s="18">
        <v>42611</v>
      </c>
      <c r="D68" s="15" t="s">
        <v>5</v>
      </c>
      <c r="E68" s="18">
        <v>31261</v>
      </c>
      <c r="F68" s="21">
        <v>44.308741050989077</v>
      </c>
      <c r="G68" s="21" cm="1">
        <f t="array" ref="G68">edadCalc(E68)</f>
        <v>40</v>
      </c>
    </row>
    <row r="69" spans="1:7" x14ac:dyDescent="0.35">
      <c r="A69" s="9">
        <f t="shared" si="1"/>
        <v>68</v>
      </c>
      <c r="B69" s="19">
        <v>618015</v>
      </c>
      <c r="C69" s="18">
        <v>42767</v>
      </c>
      <c r="D69" s="15" t="s">
        <v>6</v>
      </c>
      <c r="E69" s="18">
        <v>35894</v>
      </c>
      <c r="F69" s="21">
        <v>62.873980638676535</v>
      </c>
      <c r="G69" s="21" cm="1">
        <f t="array" ref="G69">edadCalc(E69)</f>
        <v>27</v>
      </c>
    </row>
    <row r="70" spans="1:7" x14ac:dyDescent="0.35">
      <c r="A70" s="9">
        <f t="shared" si="1"/>
        <v>69</v>
      </c>
      <c r="B70" s="19">
        <v>328849.5</v>
      </c>
      <c r="C70" s="18">
        <v>42688</v>
      </c>
      <c r="D70" s="15" t="s">
        <v>5</v>
      </c>
      <c r="E70" s="18">
        <v>26147</v>
      </c>
      <c r="F70" s="21">
        <v>30.329161626259516</v>
      </c>
      <c r="G70" s="21" cm="1">
        <f t="array" ref="G70">edadCalc(E70)</f>
        <v>54</v>
      </c>
    </row>
    <row r="71" spans="1:7" x14ac:dyDescent="0.35">
      <c r="A71" s="9">
        <f t="shared" si="1"/>
        <v>70</v>
      </c>
      <c r="B71" s="19">
        <v>1875335.6</v>
      </c>
      <c r="C71" s="18">
        <v>44562</v>
      </c>
      <c r="D71" s="15" t="s">
        <v>6</v>
      </c>
      <c r="E71" s="18">
        <v>33864</v>
      </c>
      <c r="F71" s="21">
        <v>56.380568080323478</v>
      </c>
      <c r="G71" s="21" cm="1">
        <f t="array" ref="G71">edadCalc(E71)</f>
        <v>33</v>
      </c>
    </row>
    <row r="72" spans="1:7" x14ac:dyDescent="0.35">
      <c r="A72" s="9">
        <f t="shared" si="1"/>
        <v>71</v>
      </c>
      <c r="B72" s="19">
        <v>774923</v>
      </c>
      <c r="C72" s="18">
        <v>44562</v>
      </c>
      <c r="D72" s="15" t="s">
        <v>6</v>
      </c>
      <c r="E72" s="18">
        <v>33800</v>
      </c>
      <c r="F72" s="21">
        <v>56.380568080323478</v>
      </c>
      <c r="G72" s="21" cm="1">
        <f t="array" ref="G72">edadCalc(E72)</f>
        <v>33</v>
      </c>
    </row>
    <row r="73" spans="1:7" x14ac:dyDescent="0.35">
      <c r="A73" s="9">
        <f t="shared" si="1"/>
        <v>72</v>
      </c>
      <c r="B73" s="19">
        <v>428306.2</v>
      </c>
      <c r="C73" s="18">
        <v>43399</v>
      </c>
      <c r="D73" s="15" t="s">
        <v>5</v>
      </c>
      <c r="E73" s="18">
        <v>32659</v>
      </c>
      <c r="F73" s="21">
        <v>48.445727179510286</v>
      </c>
      <c r="G73" s="21" cm="1">
        <f t="array" ref="G73">edadCalc(E73)</f>
        <v>36</v>
      </c>
    </row>
    <row r="74" spans="1:7" x14ac:dyDescent="0.35">
      <c r="A74" s="9">
        <f t="shared" si="1"/>
        <v>73</v>
      </c>
      <c r="B74" s="19">
        <v>716984</v>
      </c>
      <c r="C74" s="18">
        <v>42905</v>
      </c>
      <c r="D74" s="15" t="s">
        <v>6</v>
      </c>
      <c r="E74" s="18">
        <v>33822</v>
      </c>
      <c r="F74" s="21">
        <v>56.380568080323478</v>
      </c>
      <c r="G74" s="21" cm="1">
        <f t="array" ref="G74">edadCalc(E74)</f>
        <v>33</v>
      </c>
    </row>
    <row r="75" spans="1:7" x14ac:dyDescent="0.35">
      <c r="A75" s="9">
        <f t="shared" si="1"/>
        <v>74</v>
      </c>
      <c r="B75" s="19">
        <v>878383.6</v>
      </c>
      <c r="C75" s="18">
        <v>45667</v>
      </c>
      <c r="D75" s="15" t="s">
        <v>6</v>
      </c>
      <c r="E75" s="18">
        <v>31749</v>
      </c>
      <c r="F75" s="21">
        <v>49.918540883947905</v>
      </c>
      <c r="G75" s="21" cm="1">
        <f t="array" ref="G75">edadCalc(E75)</f>
        <v>39</v>
      </c>
    </row>
    <row r="76" spans="1:7" x14ac:dyDescent="0.35">
      <c r="A76" s="9">
        <f t="shared" si="1"/>
        <v>75</v>
      </c>
      <c r="B76" s="19">
        <v>834349</v>
      </c>
      <c r="C76" s="18">
        <v>44713</v>
      </c>
      <c r="D76" s="15" t="s">
        <v>6</v>
      </c>
      <c r="E76" s="18">
        <v>32589</v>
      </c>
      <c r="F76" s="21">
        <v>53.14350544340838</v>
      </c>
      <c r="G76" s="21" cm="1">
        <f t="array" ref="G76">edadCalc(E76)</f>
        <v>36</v>
      </c>
    </row>
    <row r="77" spans="1:7" x14ac:dyDescent="0.35">
      <c r="A77" s="9">
        <f t="shared" si="1"/>
        <v>76</v>
      </c>
      <c r="B77" s="19">
        <v>138296.25</v>
      </c>
      <c r="C77" s="18">
        <v>42933</v>
      </c>
      <c r="D77" s="15" t="s">
        <v>5</v>
      </c>
      <c r="E77" s="18">
        <v>30261</v>
      </c>
      <c r="F77" s="21">
        <v>41.241692674743973</v>
      </c>
      <c r="G77" s="21" cm="1">
        <f t="array" ref="G77">edadCalc(E77)</f>
        <v>43</v>
      </c>
    </row>
    <row r="78" spans="1:7" x14ac:dyDescent="0.35">
      <c r="A78" s="9">
        <f t="shared" si="1"/>
        <v>77</v>
      </c>
      <c r="B78" s="19">
        <v>917469.45</v>
      </c>
      <c r="C78" s="18">
        <v>44682</v>
      </c>
      <c r="D78" s="15" t="s">
        <v>5</v>
      </c>
      <c r="E78" s="18">
        <v>29235</v>
      </c>
      <c r="F78" s="21">
        <v>39.214673965866346</v>
      </c>
      <c r="G78" s="21" cm="1">
        <f t="array" ref="G78">edadCalc(E78)</f>
        <v>45</v>
      </c>
    </row>
    <row r="79" spans="1:7" x14ac:dyDescent="0.35">
      <c r="A79" s="9">
        <f t="shared" si="1"/>
        <v>78</v>
      </c>
      <c r="B79" s="19">
        <v>958611.95</v>
      </c>
      <c r="C79" s="18">
        <v>45397</v>
      </c>
      <c r="D79" s="15" t="s">
        <v>5</v>
      </c>
      <c r="E79" s="18">
        <v>33046</v>
      </c>
      <c r="F79" s="21">
        <v>49.484228029380745</v>
      </c>
      <c r="G79" s="21" cm="1">
        <f t="array" ref="G79">edadCalc(E79)</f>
        <v>35</v>
      </c>
    </row>
    <row r="80" spans="1:7" x14ac:dyDescent="0.35">
      <c r="A80" s="9">
        <f t="shared" si="1"/>
        <v>79</v>
      </c>
      <c r="B80" s="19">
        <v>3075435.7</v>
      </c>
      <c r="C80" s="18">
        <v>43074</v>
      </c>
      <c r="D80" s="15" t="s">
        <v>6</v>
      </c>
      <c r="E80" s="18">
        <v>36149</v>
      </c>
      <c r="F80" s="21">
        <v>62.873980638676535</v>
      </c>
      <c r="G80" s="21" cm="1">
        <f t="array" ref="G80">edadCalc(E80)</f>
        <v>27</v>
      </c>
    </row>
    <row r="81" spans="1:7" x14ac:dyDescent="0.35">
      <c r="A81" s="9">
        <f t="shared" si="1"/>
        <v>80</v>
      </c>
      <c r="B81" s="19">
        <v>675154.3</v>
      </c>
      <c r="C81" s="18">
        <v>43305</v>
      </c>
      <c r="D81" s="15" t="s">
        <v>5</v>
      </c>
      <c r="E81" s="18">
        <v>34016</v>
      </c>
      <c r="F81" s="21">
        <v>52.599531014555119</v>
      </c>
      <c r="G81" s="21" cm="1">
        <f t="array" ref="G81">edadCalc(E81)</f>
        <v>32</v>
      </c>
    </row>
    <row r="82" spans="1:7" x14ac:dyDescent="0.35">
      <c r="A82" s="9">
        <f t="shared" si="1"/>
        <v>81</v>
      </c>
      <c r="B82" s="19">
        <v>432282.8</v>
      </c>
      <c r="C82" s="18">
        <v>43635</v>
      </c>
      <c r="D82" s="15" t="s">
        <v>5</v>
      </c>
      <c r="E82" s="18">
        <v>35648</v>
      </c>
      <c r="F82" s="21">
        <v>56.756489657566817</v>
      </c>
      <c r="G82" s="21" cm="1">
        <f t="array" ref="G82">edadCalc(E82)</f>
        <v>28</v>
      </c>
    </row>
    <row r="83" spans="1:7" x14ac:dyDescent="0.35">
      <c r="A83" s="9">
        <f t="shared" si="1"/>
        <v>82</v>
      </c>
      <c r="B83" s="19">
        <v>557962</v>
      </c>
      <c r="C83" s="18">
        <v>43441</v>
      </c>
      <c r="D83" s="15" t="s">
        <v>5</v>
      </c>
      <c r="E83" s="18">
        <v>36513</v>
      </c>
      <c r="F83" s="21">
        <v>58.839653070361329</v>
      </c>
      <c r="G83" s="21" cm="1">
        <f t="array" ref="G83">edadCalc(E83)</f>
        <v>26</v>
      </c>
    </row>
    <row r="84" spans="1:7" x14ac:dyDescent="0.35">
      <c r="A84" s="9">
        <f t="shared" si="1"/>
        <v>83</v>
      </c>
      <c r="B84" s="19">
        <v>761827.61</v>
      </c>
      <c r="C84" s="18">
        <v>43446</v>
      </c>
      <c r="D84" s="15" t="s">
        <v>5</v>
      </c>
      <c r="E84" s="18">
        <v>33631</v>
      </c>
      <c r="F84" s="21">
        <v>51.561068751399539</v>
      </c>
      <c r="G84" s="21" cm="1">
        <f t="array" ref="G84">edadCalc(E84)</f>
        <v>33</v>
      </c>
    </row>
    <row r="85" spans="1:7" x14ac:dyDescent="0.35">
      <c r="A85" s="9">
        <f t="shared" si="1"/>
        <v>84</v>
      </c>
      <c r="B85" s="19">
        <v>666401</v>
      </c>
      <c r="C85" s="18">
        <v>43479</v>
      </c>
      <c r="D85" s="15" t="s">
        <v>6</v>
      </c>
      <c r="E85" s="18">
        <v>30574</v>
      </c>
      <c r="F85" s="21">
        <v>46.708036110635952</v>
      </c>
      <c r="G85" s="21" cm="1">
        <f t="array" ref="G85">edadCalc(E85)</f>
        <v>42</v>
      </c>
    </row>
    <row r="86" spans="1:7" x14ac:dyDescent="0.35">
      <c r="A86" s="9">
        <f t="shared" si="1"/>
        <v>85</v>
      </c>
      <c r="B86" s="19">
        <v>1631306.25</v>
      </c>
      <c r="C86" s="18">
        <v>43724</v>
      </c>
      <c r="D86" s="15" t="s">
        <v>5</v>
      </c>
      <c r="E86" s="18">
        <v>35448</v>
      </c>
      <c r="F86" s="21">
        <v>56.756489657566817</v>
      </c>
      <c r="G86" s="21" cm="1">
        <f t="array" ref="G86">edadCalc(E86)</f>
        <v>28</v>
      </c>
    </row>
    <row r="87" spans="1:7" x14ac:dyDescent="0.35">
      <c r="A87" s="9">
        <f t="shared" si="1"/>
        <v>86</v>
      </c>
      <c r="B87" s="19">
        <v>1841030.5</v>
      </c>
      <c r="C87" s="18">
        <v>43577</v>
      </c>
      <c r="D87" s="15" t="s">
        <v>6</v>
      </c>
      <c r="E87" s="18">
        <v>34755</v>
      </c>
      <c r="F87" s="21">
        <v>59.625820995298447</v>
      </c>
      <c r="G87" s="21" cm="1">
        <f t="array" ref="G87">edadCalc(E87)</f>
        <v>30</v>
      </c>
    </row>
    <row r="88" spans="1:7" x14ac:dyDescent="0.35">
      <c r="A88" s="9">
        <f t="shared" si="1"/>
        <v>87</v>
      </c>
      <c r="B88" s="19">
        <v>584767.85</v>
      </c>
      <c r="C88" s="18">
        <v>43633</v>
      </c>
      <c r="D88" s="15" t="s">
        <v>5</v>
      </c>
      <c r="E88" s="18">
        <v>31029</v>
      </c>
      <c r="F88" s="21">
        <v>43.282191873776306</v>
      </c>
      <c r="G88" s="21" cm="1">
        <f t="array" ref="G88">edadCalc(E88)</f>
        <v>41</v>
      </c>
    </row>
    <row r="89" spans="1:7" x14ac:dyDescent="0.35">
      <c r="A89" s="9">
        <f t="shared" si="1"/>
        <v>88</v>
      </c>
      <c r="B89" s="19">
        <v>745437.2</v>
      </c>
      <c r="C89" s="18">
        <v>43668</v>
      </c>
      <c r="D89" s="15" t="s">
        <v>6</v>
      </c>
      <c r="E89" s="18">
        <v>32863</v>
      </c>
      <c r="F89" s="21">
        <v>53.14350544340838</v>
      </c>
      <c r="G89" s="21" cm="1">
        <f t="array" ref="G89">edadCalc(E89)</f>
        <v>36</v>
      </c>
    </row>
    <row r="90" spans="1:7" x14ac:dyDescent="0.35">
      <c r="A90" s="9">
        <f t="shared" si="1"/>
        <v>89</v>
      </c>
      <c r="B90" s="19">
        <v>407087.15</v>
      </c>
      <c r="C90" s="18">
        <v>43675</v>
      </c>
      <c r="D90" s="15" t="s">
        <v>5</v>
      </c>
      <c r="E90" s="18">
        <v>32824</v>
      </c>
      <c r="F90" s="21">
        <v>48.445727179510286</v>
      </c>
      <c r="G90" s="21" cm="1">
        <f t="array" ref="G90">edadCalc(E90)</f>
        <v>36</v>
      </c>
    </row>
    <row r="91" spans="1:7" x14ac:dyDescent="0.35">
      <c r="A91" s="9">
        <f t="shared" si="1"/>
        <v>90</v>
      </c>
      <c r="B91" s="19">
        <v>406585.35</v>
      </c>
      <c r="C91" s="18">
        <v>43682</v>
      </c>
      <c r="D91" s="15" t="s">
        <v>6</v>
      </c>
      <c r="E91" s="18">
        <v>29564</v>
      </c>
      <c r="F91" s="21">
        <v>43.516970221614415</v>
      </c>
      <c r="G91" s="21" cm="1">
        <f t="array" ref="G91">edadCalc(E91)</f>
        <v>45</v>
      </c>
    </row>
    <row r="92" spans="1:7" x14ac:dyDescent="0.35">
      <c r="A92" s="9">
        <f t="shared" si="1"/>
        <v>91</v>
      </c>
      <c r="B92" s="19">
        <v>1919034.4</v>
      </c>
      <c r="C92" s="18">
        <v>43773</v>
      </c>
      <c r="D92" s="15" t="s">
        <v>5</v>
      </c>
      <c r="E92" s="18">
        <v>29748</v>
      </c>
      <c r="F92" s="21">
        <v>40.226934369279071</v>
      </c>
      <c r="G92" s="21" cm="1">
        <f t="array" ref="G92">edadCalc(E92)</f>
        <v>44</v>
      </c>
    </row>
    <row r="93" spans="1:7" x14ac:dyDescent="0.35">
      <c r="A93" s="9">
        <f t="shared" si="1"/>
        <v>92</v>
      </c>
      <c r="B93" s="19">
        <v>2105844.1800000002</v>
      </c>
      <c r="C93" s="18">
        <v>43773</v>
      </c>
      <c r="D93" s="15" t="s">
        <v>6</v>
      </c>
      <c r="E93" s="18">
        <v>33754</v>
      </c>
      <c r="F93" s="21">
        <v>56.380568080323478</v>
      </c>
      <c r="G93" s="21" cm="1">
        <f t="array" ref="G93">edadCalc(E93)</f>
        <v>33</v>
      </c>
    </row>
    <row r="94" spans="1:7" x14ac:dyDescent="0.35">
      <c r="A94" s="9">
        <f t="shared" si="1"/>
        <v>93</v>
      </c>
      <c r="B94" s="19">
        <v>504290</v>
      </c>
      <c r="C94" s="18">
        <v>44116</v>
      </c>
      <c r="D94" s="15" t="s">
        <v>5</v>
      </c>
      <c r="E94" s="18">
        <v>35831</v>
      </c>
      <c r="F94" s="21">
        <v>57.797859179317832</v>
      </c>
      <c r="G94" s="21" cm="1">
        <f t="array" ref="G94">edadCalc(E94)</f>
        <v>27</v>
      </c>
    </row>
    <row r="95" spans="1:7" x14ac:dyDescent="0.35">
      <c r="A95" s="9">
        <f t="shared" si="1"/>
        <v>94</v>
      </c>
      <c r="B95" s="19">
        <v>892201.6</v>
      </c>
      <c r="C95" s="18">
        <v>44046</v>
      </c>
      <c r="D95" s="15" t="s">
        <v>6</v>
      </c>
      <c r="E95" s="18">
        <v>35293</v>
      </c>
      <c r="F95" s="21">
        <v>60.708537274902611</v>
      </c>
      <c r="G95" s="21" cm="1">
        <f t="array" ref="G95">edadCalc(E95)</f>
        <v>29</v>
      </c>
    </row>
    <row r="96" spans="1:7" x14ac:dyDescent="0.35">
      <c r="A96" s="9">
        <f t="shared" si="1"/>
        <v>95</v>
      </c>
      <c r="B96" s="19">
        <v>781943</v>
      </c>
      <c r="C96" s="18">
        <v>43802</v>
      </c>
      <c r="D96" s="15" t="s">
        <v>5</v>
      </c>
      <c r="E96" s="18">
        <v>28278</v>
      </c>
      <c r="F96" s="21">
        <v>36.198137848957074</v>
      </c>
      <c r="G96" s="21" cm="1">
        <f t="array" ref="G96">edadCalc(E96)</f>
        <v>48</v>
      </c>
    </row>
    <row r="97" spans="1:7" x14ac:dyDescent="0.35">
      <c r="A97" s="9">
        <f t="shared" si="1"/>
        <v>96</v>
      </c>
      <c r="B97" s="19">
        <v>704259</v>
      </c>
      <c r="C97" s="18">
        <v>43808</v>
      </c>
      <c r="D97" s="15" t="s">
        <v>5</v>
      </c>
      <c r="E97" s="18">
        <v>27467</v>
      </c>
      <c r="F97" s="21">
        <v>34.214955596705444</v>
      </c>
      <c r="G97" s="21" cm="1">
        <f t="array" ref="G97">edadCalc(E97)</f>
        <v>50</v>
      </c>
    </row>
    <row r="98" spans="1:7" x14ac:dyDescent="0.35">
      <c r="A98" s="9">
        <f t="shared" si="1"/>
        <v>97</v>
      </c>
      <c r="B98" s="19">
        <v>666401</v>
      </c>
      <c r="C98" s="18">
        <v>43836</v>
      </c>
      <c r="D98" s="15" t="s">
        <v>6</v>
      </c>
      <c r="E98" s="18">
        <v>28240</v>
      </c>
      <c r="F98" s="21">
        <v>40.354889008960043</v>
      </c>
      <c r="G98" s="21" cm="1">
        <f t="array" ref="G98">edadCalc(E98)</f>
        <v>48</v>
      </c>
    </row>
    <row r="99" spans="1:7" x14ac:dyDescent="0.35">
      <c r="A99" s="9">
        <f t="shared" si="1"/>
        <v>98</v>
      </c>
      <c r="B99" s="19">
        <v>324008.8</v>
      </c>
      <c r="C99" s="18">
        <v>43836</v>
      </c>
      <c r="D99" s="15" t="s">
        <v>5</v>
      </c>
      <c r="E99" s="18">
        <v>27751</v>
      </c>
      <c r="F99" s="21">
        <v>34.214955596705444</v>
      </c>
      <c r="G99" s="21" cm="1">
        <f t="array" ref="G99">edadCalc(E99)</f>
        <v>50</v>
      </c>
    </row>
    <row r="100" spans="1:7" x14ac:dyDescent="0.35">
      <c r="A100" s="9">
        <f t="shared" si="1"/>
        <v>99</v>
      </c>
      <c r="B100" s="19">
        <v>398650</v>
      </c>
      <c r="C100" s="18">
        <v>43836</v>
      </c>
      <c r="D100" s="15" t="s">
        <v>6</v>
      </c>
      <c r="E100" s="18">
        <v>27612</v>
      </c>
      <c r="F100" s="21">
        <v>38.264228173978282</v>
      </c>
      <c r="G100" s="21" cm="1">
        <f t="array" ref="G100">edadCalc(E100)</f>
        <v>50</v>
      </c>
    </row>
    <row r="101" spans="1:7" x14ac:dyDescent="0.35">
      <c r="A101" s="9">
        <f t="shared" si="1"/>
        <v>100</v>
      </c>
      <c r="B101" s="19">
        <v>885207.5</v>
      </c>
      <c r="C101" s="18">
        <v>44593</v>
      </c>
      <c r="D101" s="15" t="s">
        <v>5</v>
      </c>
      <c r="E101" s="18">
        <v>32777</v>
      </c>
      <c r="F101" s="21">
        <v>48.445727179510286</v>
      </c>
      <c r="G101" s="21" cm="1">
        <f t="array" ref="G101">edadCalc(E101)</f>
        <v>36</v>
      </c>
    </row>
    <row r="102" spans="1:7" x14ac:dyDescent="0.35">
      <c r="A102" s="9">
        <f t="shared" si="1"/>
        <v>101</v>
      </c>
      <c r="B102" s="19">
        <v>686648</v>
      </c>
      <c r="C102" s="18">
        <v>43836</v>
      </c>
      <c r="D102" s="15" t="s">
        <v>5</v>
      </c>
      <c r="E102" s="18">
        <v>27136</v>
      </c>
      <c r="F102" s="21">
        <v>33.233389454955429</v>
      </c>
      <c r="G102" s="21" cm="1">
        <f t="array" ref="G102">edadCalc(E102)</f>
        <v>51</v>
      </c>
    </row>
    <row r="103" spans="1:7" x14ac:dyDescent="0.35">
      <c r="A103" s="9">
        <f t="shared" si="1"/>
        <v>102</v>
      </c>
      <c r="B103" s="19">
        <v>617762</v>
      </c>
      <c r="C103" s="18">
        <v>44669</v>
      </c>
      <c r="D103" s="15" t="s">
        <v>6</v>
      </c>
      <c r="E103" s="18">
        <v>33566</v>
      </c>
      <c r="F103" s="21">
        <v>55.300534903292863</v>
      </c>
      <c r="G103" s="21" cm="1">
        <f t="array" ref="G103">edadCalc(E103)</f>
        <v>34</v>
      </c>
    </row>
    <row r="104" spans="1:7" x14ac:dyDescent="0.35">
      <c r="A104" s="9">
        <f t="shared" si="1"/>
        <v>103</v>
      </c>
      <c r="B104" s="19">
        <v>1650056.97</v>
      </c>
      <c r="C104" s="18">
        <v>44245</v>
      </c>
      <c r="D104" s="15" t="s">
        <v>6</v>
      </c>
      <c r="E104" s="18">
        <v>35111</v>
      </c>
      <c r="F104" s="21">
        <v>60.708537274902611</v>
      </c>
      <c r="G104" s="21" cm="1">
        <f t="array" ref="G104">edadCalc(E104)</f>
        <v>29</v>
      </c>
    </row>
    <row r="105" spans="1:7" x14ac:dyDescent="0.35">
      <c r="A105" s="9">
        <f t="shared" si="1"/>
        <v>104</v>
      </c>
      <c r="B105" s="19">
        <v>713268</v>
      </c>
      <c r="C105" s="18">
        <v>43920</v>
      </c>
      <c r="D105" s="15" t="s">
        <v>6</v>
      </c>
      <c r="E105" s="18">
        <v>33178</v>
      </c>
      <c r="F105" s="21">
        <v>54.221478258522609</v>
      </c>
      <c r="G105" s="21" cm="1">
        <f t="array" ref="G105">edadCalc(E105)</f>
        <v>35</v>
      </c>
    </row>
    <row r="106" spans="1:7" x14ac:dyDescent="0.35">
      <c r="A106" s="9">
        <f t="shared" si="1"/>
        <v>105</v>
      </c>
      <c r="B106" s="19">
        <v>1885757.3</v>
      </c>
      <c r="C106" s="18">
        <v>43920</v>
      </c>
      <c r="D106" s="15" t="s">
        <v>6</v>
      </c>
      <c r="E106" s="18">
        <v>32210</v>
      </c>
      <c r="F106" s="21">
        <v>52.066974680425012</v>
      </c>
      <c r="G106" s="21" cm="1">
        <f t="array" ref="G106">edadCalc(E106)</f>
        <v>37</v>
      </c>
    </row>
    <row r="107" spans="1:7" x14ac:dyDescent="0.35">
      <c r="A107" s="9">
        <f t="shared" si="1"/>
        <v>106</v>
      </c>
      <c r="B107" s="19">
        <v>722728.6</v>
      </c>
      <c r="C107" s="18">
        <v>43934</v>
      </c>
      <c r="D107" s="15" t="s">
        <v>5</v>
      </c>
      <c r="E107" s="18">
        <v>28413</v>
      </c>
      <c r="F107" s="21">
        <v>36.198137848957074</v>
      </c>
      <c r="G107" s="21" cm="1">
        <f t="array" ref="G107">edadCalc(E107)</f>
        <v>48</v>
      </c>
    </row>
    <row r="108" spans="1:7" x14ac:dyDescent="0.35">
      <c r="A108" s="9">
        <f t="shared" si="1"/>
        <v>107</v>
      </c>
      <c r="B108" s="19">
        <v>813576.15</v>
      </c>
      <c r="C108" s="18">
        <v>44652</v>
      </c>
      <c r="D108" s="15" t="s">
        <v>6</v>
      </c>
      <c r="E108" s="18">
        <v>28037</v>
      </c>
      <c r="F108" s="21">
        <v>39.307725722036096</v>
      </c>
      <c r="G108" s="21" cm="1">
        <f t="array" ref="G108">edadCalc(E108)</f>
        <v>49</v>
      </c>
    </row>
    <row r="109" spans="1:7" x14ac:dyDescent="0.35">
      <c r="A109" s="9">
        <f t="shared" si="1"/>
        <v>108</v>
      </c>
      <c r="B109" s="19">
        <v>681351.5</v>
      </c>
      <c r="C109" s="18">
        <v>44263</v>
      </c>
      <c r="D109" s="15" t="s">
        <v>5</v>
      </c>
      <c r="E109" s="18">
        <v>32333</v>
      </c>
      <c r="F109" s="21">
        <v>47.408100340778319</v>
      </c>
      <c r="G109" s="21" cm="1">
        <f t="array" ref="G109">edadCalc(E109)</f>
        <v>37</v>
      </c>
    </row>
    <row r="110" spans="1:7" x14ac:dyDescent="0.35">
      <c r="A110" s="9">
        <f t="shared" si="1"/>
        <v>109</v>
      </c>
      <c r="B110" s="19">
        <v>1015047.5</v>
      </c>
      <c r="C110" s="18">
        <v>43976</v>
      </c>
      <c r="D110" s="15" t="s">
        <v>5</v>
      </c>
      <c r="E110" s="18">
        <v>32605</v>
      </c>
      <c r="F110" s="21">
        <v>48.445727179510286</v>
      </c>
      <c r="G110" s="21" cm="1">
        <f t="array" ref="G110">edadCalc(E110)</f>
        <v>36</v>
      </c>
    </row>
    <row r="111" spans="1:7" x14ac:dyDescent="0.35">
      <c r="A111" s="9">
        <f t="shared" si="1"/>
        <v>110</v>
      </c>
      <c r="B111" s="19">
        <v>780386</v>
      </c>
      <c r="C111" s="18">
        <v>43976</v>
      </c>
      <c r="D111" s="15" t="s">
        <v>5</v>
      </c>
      <c r="E111" s="18">
        <v>31879</v>
      </c>
      <c r="F111" s="21">
        <v>46.372251474501553</v>
      </c>
      <c r="G111" s="21" cm="1">
        <f t="array" ref="G111">edadCalc(E111)</f>
        <v>38</v>
      </c>
    </row>
    <row r="112" spans="1:7" x14ac:dyDescent="0.35">
      <c r="A112" s="9">
        <f t="shared" si="1"/>
        <v>111</v>
      </c>
      <c r="B112" s="19">
        <v>2606955.65</v>
      </c>
      <c r="C112" s="18">
        <v>44562</v>
      </c>
      <c r="D112" s="15" t="s">
        <v>5</v>
      </c>
      <c r="E112" s="18">
        <v>33569</v>
      </c>
      <c r="F112" s="21">
        <v>50.52270681003921</v>
      </c>
      <c r="G112" s="21" cm="1">
        <f t="array" ref="G112">edadCalc(E112)</f>
        <v>34</v>
      </c>
    </row>
    <row r="113" spans="1:7" x14ac:dyDescent="0.35">
      <c r="A113" s="9">
        <f t="shared" si="1"/>
        <v>112</v>
      </c>
      <c r="B113" s="19">
        <v>712567.6</v>
      </c>
      <c r="C113" s="18">
        <v>44235</v>
      </c>
      <c r="D113" s="15" t="s">
        <v>6</v>
      </c>
      <c r="E113" s="18">
        <v>35620</v>
      </c>
      <c r="F113" s="21">
        <v>61.7912784269528</v>
      </c>
      <c r="G113" s="21" cm="1">
        <f t="array" ref="G113">edadCalc(E113)</f>
        <v>28</v>
      </c>
    </row>
    <row r="114" spans="1:7" x14ac:dyDescent="0.35">
      <c r="A114" s="9">
        <f t="shared" si="1"/>
        <v>113</v>
      </c>
      <c r="B114" s="19">
        <v>882803.45</v>
      </c>
      <c r="C114" s="18">
        <v>44046</v>
      </c>
      <c r="D114" s="15" t="s">
        <v>6</v>
      </c>
      <c r="E114" s="18">
        <v>33856</v>
      </c>
      <c r="F114" s="21">
        <v>56.380568080323478</v>
      </c>
      <c r="G114" s="21" cm="1">
        <f t="array" ref="G114">edadCalc(E114)</f>
        <v>33</v>
      </c>
    </row>
    <row r="115" spans="1:7" x14ac:dyDescent="0.35">
      <c r="A115" s="9">
        <f t="shared" si="1"/>
        <v>114</v>
      </c>
      <c r="B115" s="19">
        <v>1439854.6</v>
      </c>
      <c r="C115" s="18">
        <v>44061</v>
      </c>
      <c r="D115" s="15" t="s">
        <v>6</v>
      </c>
      <c r="E115" s="18">
        <v>33929</v>
      </c>
      <c r="F115" s="21">
        <v>56.380568080323478</v>
      </c>
      <c r="G115" s="21" cm="1">
        <f t="array" ref="G115">edadCalc(E115)</f>
        <v>33</v>
      </c>
    </row>
    <row r="116" spans="1:7" x14ac:dyDescent="0.35">
      <c r="A116" s="9">
        <f t="shared" si="1"/>
        <v>115</v>
      </c>
      <c r="B116" s="19">
        <v>1011469.7</v>
      </c>
      <c r="C116" s="18">
        <v>44061</v>
      </c>
      <c r="D116" s="15" t="s">
        <v>5</v>
      </c>
      <c r="E116" s="18">
        <v>33540</v>
      </c>
      <c r="F116" s="21">
        <v>50.52270681003921</v>
      </c>
      <c r="G116" s="21" cm="1">
        <f t="array" ref="G116">edadCalc(E116)</f>
        <v>34</v>
      </c>
    </row>
    <row r="117" spans="1:7" x14ac:dyDescent="0.35">
      <c r="A117" s="9">
        <f t="shared" si="1"/>
        <v>116</v>
      </c>
      <c r="B117" s="19">
        <v>2044294.1</v>
      </c>
      <c r="C117" s="18">
        <v>44089</v>
      </c>
      <c r="D117" s="15" t="s">
        <v>5</v>
      </c>
      <c r="E117" s="18">
        <v>33795</v>
      </c>
      <c r="F117" s="21">
        <v>51.561068751399539</v>
      </c>
      <c r="G117" s="21" cm="1">
        <f t="array" ref="G117">edadCalc(E117)</f>
        <v>33</v>
      </c>
    </row>
    <row r="118" spans="1:7" x14ac:dyDescent="0.35">
      <c r="A118" s="9">
        <f t="shared" si="1"/>
        <v>117</v>
      </c>
      <c r="B118" s="19">
        <v>713575.8</v>
      </c>
      <c r="C118" s="18">
        <v>44501</v>
      </c>
      <c r="D118" s="15" t="s">
        <v>5</v>
      </c>
      <c r="E118" s="18">
        <v>32255</v>
      </c>
      <c r="F118" s="21">
        <v>47.408100340778319</v>
      </c>
      <c r="G118" s="21" cm="1">
        <f t="array" ref="G118">edadCalc(E118)</f>
        <v>37</v>
      </c>
    </row>
    <row r="119" spans="1:7" x14ac:dyDescent="0.35">
      <c r="A119" s="9">
        <f t="shared" si="1"/>
        <v>118</v>
      </c>
      <c r="B119" s="19">
        <v>971499.5</v>
      </c>
      <c r="C119" s="18">
        <v>44172</v>
      </c>
      <c r="D119" s="15" t="s">
        <v>5</v>
      </c>
      <c r="E119" s="18">
        <v>34642</v>
      </c>
      <c r="F119" s="21">
        <v>53.638201851667247</v>
      </c>
      <c r="G119" s="21" cm="1">
        <f t="array" ref="G119">edadCalc(E119)</f>
        <v>31</v>
      </c>
    </row>
    <row r="120" spans="1:7" x14ac:dyDescent="0.35">
      <c r="A120" s="9">
        <f t="shared" si="1"/>
        <v>119</v>
      </c>
      <c r="B120" s="19">
        <v>739888</v>
      </c>
      <c r="C120" s="18">
        <v>44562</v>
      </c>
      <c r="D120" s="15" t="s">
        <v>6</v>
      </c>
      <c r="E120" s="18">
        <v>33674</v>
      </c>
      <c r="F120" s="21">
        <v>56.380568080323478</v>
      </c>
      <c r="G120" s="21" cm="1">
        <f t="array" ref="G120">edadCalc(E120)</f>
        <v>33</v>
      </c>
    </row>
    <row r="121" spans="1:7" x14ac:dyDescent="0.35">
      <c r="A121" s="9">
        <f t="shared" si="1"/>
        <v>120</v>
      </c>
      <c r="B121" s="19">
        <v>887948.5</v>
      </c>
      <c r="C121" s="18">
        <v>44562</v>
      </c>
      <c r="D121" s="15" t="s">
        <v>5</v>
      </c>
      <c r="E121" s="18">
        <v>35864</v>
      </c>
      <c r="F121" s="21">
        <v>57.797859179317832</v>
      </c>
      <c r="G121" s="21" cm="1">
        <f t="array" ref="G121">edadCalc(E121)</f>
        <v>27</v>
      </c>
    </row>
    <row r="122" spans="1:7" x14ac:dyDescent="0.35">
      <c r="A122" s="9">
        <f t="shared" si="1"/>
        <v>121</v>
      </c>
      <c r="B122" s="19">
        <v>495316</v>
      </c>
      <c r="C122" s="18">
        <v>44562</v>
      </c>
      <c r="D122" s="15" t="s">
        <v>5</v>
      </c>
      <c r="E122" s="18">
        <v>33106</v>
      </c>
      <c r="F122" s="21">
        <v>49.484228029380745</v>
      </c>
      <c r="G122" s="21" cm="1">
        <f t="array" ref="G122">edadCalc(E122)</f>
        <v>35</v>
      </c>
    </row>
    <row r="123" spans="1:7" x14ac:dyDescent="0.35">
      <c r="A123" s="9">
        <f t="shared" si="1"/>
        <v>122</v>
      </c>
      <c r="B123" s="19">
        <v>572422</v>
      </c>
      <c r="C123" s="18">
        <v>44627</v>
      </c>
      <c r="D123" s="15" t="s">
        <v>6</v>
      </c>
      <c r="E123" s="18">
        <v>31607</v>
      </c>
      <c r="F123" s="21">
        <v>49.918540883947905</v>
      </c>
      <c r="G123" s="21" cm="1">
        <f t="array" ref="G123">edadCalc(E123)</f>
        <v>39</v>
      </c>
    </row>
    <row r="124" spans="1:7" x14ac:dyDescent="0.35">
      <c r="A124" s="9">
        <f t="shared" si="1"/>
        <v>123</v>
      </c>
      <c r="B124" s="19">
        <v>1429496.5</v>
      </c>
      <c r="C124" s="18">
        <v>44333</v>
      </c>
      <c r="D124" s="15" t="s">
        <v>5</v>
      </c>
      <c r="E124" s="18">
        <v>33384</v>
      </c>
      <c r="F124" s="21">
        <v>50.52270681003921</v>
      </c>
      <c r="G124" s="21" cm="1">
        <f t="array" ref="G124">edadCalc(E124)</f>
        <v>34</v>
      </c>
    </row>
    <row r="125" spans="1:7" x14ac:dyDescent="0.35">
      <c r="A125" s="9">
        <f t="shared" si="1"/>
        <v>124</v>
      </c>
      <c r="B125" s="19">
        <v>713268</v>
      </c>
      <c r="C125" s="18">
        <v>44562</v>
      </c>
      <c r="D125" s="15" t="s">
        <v>5</v>
      </c>
      <c r="E125" s="18">
        <v>35877</v>
      </c>
      <c r="F125" s="21">
        <v>57.797859179317832</v>
      </c>
      <c r="G125" s="21" cm="1">
        <f t="array" ref="G125">edadCalc(E125)</f>
        <v>27</v>
      </c>
    </row>
    <row r="126" spans="1:7" x14ac:dyDescent="0.35">
      <c r="A126" s="9">
        <f t="shared" si="1"/>
        <v>125</v>
      </c>
      <c r="B126" s="19">
        <v>841528</v>
      </c>
      <c r="C126" s="18">
        <v>44375</v>
      </c>
      <c r="D126" s="15" t="s">
        <v>5</v>
      </c>
      <c r="E126" s="18">
        <v>34154</v>
      </c>
      <c r="F126" s="21">
        <v>52.599531014555119</v>
      </c>
      <c r="G126" s="21" cm="1">
        <f t="array" ref="G126">edadCalc(E126)</f>
        <v>32</v>
      </c>
    </row>
    <row r="127" spans="1:7" x14ac:dyDescent="0.35">
      <c r="A127" s="9">
        <f t="shared" si="1"/>
        <v>126</v>
      </c>
      <c r="B127" s="19">
        <v>653865</v>
      </c>
      <c r="C127" s="18">
        <v>44375</v>
      </c>
      <c r="D127" s="15" t="s">
        <v>5</v>
      </c>
      <c r="E127" s="18">
        <v>34944</v>
      </c>
      <c r="F127" s="21">
        <v>54.677010154380199</v>
      </c>
      <c r="G127" s="21" cm="1">
        <f t="array" ref="G127">edadCalc(E127)</f>
        <v>30</v>
      </c>
    </row>
    <row r="128" spans="1:7" x14ac:dyDescent="0.35">
      <c r="A128" s="9">
        <f t="shared" si="1"/>
        <v>127</v>
      </c>
      <c r="B128" s="19">
        <v>855467.5</v>
      </c>
      <c r="C128" s="18">
        <v>44732</v>
      </c>
      <c r="D128" s="15" t="s">
        <v>5</v>
      </c>
      <c r="E128" s="18">
        <v>36035</v>
      </c>
      <c r="F128" s="21">
        <v>57.797859179317832</v>
      </c>
      <c r="G128" s="21" cm="1">
        <f t="array" ref="G128">edadCalc(E128)</f>
        <v>27</v>
      </c>
    </row>
    <row r="129" spans="1:7" x14ac:dyDescent="0.35">
      <c r="A129" s="9">
        <f t="shared" si="1"/>
        <v>128</v>
      </c>
      <c r="B129" s="19">
        <v>740203.6</v>
      </c>
      <c r="C129" s="18">
        <v>44389</v>
      </c>
      <c r="D129" s="15" t="s">
        <v>6</v>
      </c>
      <c r="E129" s="18">
        <v>31274</v>
      </c>
      <c r="F129" s="21">
        <v>48.846644248579132</v>
      </c>
      <c r="G129" s="21" cm="1">
        <f t="array" ref="G129">edadCalc(E129)</f>
        <v>40</v>
      </c>
    </row>
    <row r="130" spans="1:7" x14ac:dyDescent="0.35">
      <c r="A130" s="9">
        <f t="shared" si="1"/>
        <v>129</v>
      </c>
      <c r="B130" s="19">
        <v>695209</v>
      </c>
      <c r="C130" s="18">
        <v>44621</v>
      </c>
      <c r="D130" s="15" t="s">
        <v>5</v>
      </c>
      <c r="E130" s="18">
        <v>34026</v>
      </c>
      <c r="F130" s="21">
        <v>52.599531014555119</v>
      </c>
      <c r="G130" s="21" cm="1">
        <f t="array" ref="G130">edadCalc(E130)</f>
        <v>32</v>
      </c>
    </row>
    <row r="131" spans="1:7" x14ac:dyDescent="0.35">
      <c r="A131" s="9">
        <f t="shared" si="1"/>
        <v>130</v>
      </c>
      <c r="B131" s="19">
        <v>746450.2</v>
      </c>
      <c r="C131" s="18">
        <v>44431</v>
      </c>
      <c r="D131" s="15" t="s">
        <v>5</v>
      </c>
      <c r="E131" s="18">
        <v>35901</v>
      </c>
      <c r="F131" s="21">
        <v>57.797859179317832</v>
      </c>
      <c r="G131" s="21" cm="1">
        <f t="array" ref="G131">edadCalc(E131)</f>
        <v>27</v>
      </c>
    </row>
    <row r="132" spans="1:7" x14ac:dyDescent="0.35">
      <c r="A132" s="9">
        <f t="shared" ref="A132:A195" si="2">+A131+1</f>
        <v>131</v>
      </c>
      <c r="B132" s="19">
        <v>289354.5</v>
      </c>
      <c r="C132" s="18">
        <v>44652</v>
      </c>
      <c r="D132" s="15" t="s">
        <v>5</v>
      </c>
      <c r="E132" s="18">
        <v>37700</v>
      </c>
      <c r="F132" s="21">
        <v>63.010592607496712</v>
      </c>
      <c r="G132" s="21" cm="1">
        <f t="array" ref="G132">edadCalc(E132)</f>
        <v>22</v>
      </c>
    </row>
    <row r="133" spans="1:7" x14ac:dyDescent="0.35">
      <c r="A133" s="9">
        <f t="shared" si="2"/>
        <v>132</v>
      </c>
      <c r="B133" s="19">
        <v>2636433.5</v>
      </c>
      <c r="C133" s="18">
        <v>44621</v>
      </c>
      <c r="D133" s="15" t="s">
        <v>5</v>
      </c>
      <c r="E133" s="18">
        <v>37640</v>
      </c>
      <c r="F133" s="21">
        <v>63.010592607496712</v>
      </c>
      <c r="G133" s="21" cm="1">
        <f t="array" ref="G133">edadCalc(E133)</f>
        <v>22</v>
      </c>
    </row>
    <row r="134" spans="1:7" x14ac:dyDescent="0.35">
      <c r="A134" s="9">
        <f t="shared" si="2"/>
        <v>133</v>
      </c>
      <c r="B134" s="19">
        <v>661579.4</v>
      </c>
      <c r="C134" s="18">
        <v>44445</v>
      </c>
      <c r="D134" s="15" t="s">
        <v>6</v>
      </c>
      <c r="E134" s="18">
        <v>34631</v>
      </c>
      <c r="F134" s="21">
        <v>58.54338628503988</v>
      </c>
      <c r="G134" s="21" cm="1">
        <f t="array" ref="G134">edadCalc(E134)</f>
        <v>31</v>
      </c>
    </row>
    <row r="135" spans="1:7" x14ac:dyDescent="0.35">
      <c r="A135" s="9">
        <f t="shared" si="2"/>
        <v>134</v>
      </c>
      <c r="B135" s="19">
        <v>2010897.4</v>
      </c>
      <c r="C135" s="18">
        <v>44522</v>
      </c>
      <c r="D135" s="15" t="s">
        <v>5</v>
      </c>
      <c r="E135" s="18">
        <v>29696</v>
      </c>
      <c r="F135" s="21">
        <v>40.226934369279071</v>
      </c>
      <c r="G135" s="21" cm="1">
        <f t="array" ref="G135">edadCalc(E135)</f>
        <v>44</v>
      </c>
    </row>
    <row r="136" spans="1:7" x14ac:dyDescent="0.35">
      <c r="A136" s="9">
        <f t="shared" si="2"/>
        <v>135</v>
      </c>
      <c r="B136" s="19">
        <v>681824.65</v>
      </c>
      <c r="C136" s="18">
        <v>44530</v>
      </c>
      <c r="D136" s="15" t="s">
        <v>5</v>
      </c>
      <c r="E136" s="18">
        <v>33540</v>
      </c>
      <c r="F136" s="21">
        <v>50.52270681003921</v>
      </c>
      <c r="G136" s="21" cm="1">
        <f t="array" ref="G136">edadCalc(E136)</f>
        <v>34</v>
      </c>
    </row>
    <row r="137" spans="1:7" x14ac:dyDescent="0.35">
      <c r="A137" s="9">
        <f t="shared" si="2"/>
        <v>136</v>
      </c>
      <c r="B137" s="19">
        <v>679066</v>
      </c>
      <c r="C137" s="18">
        <v>44564</v>
      </c>
      <c r="D137" s="15" t="s">
        <v>5</v>
      </c>
      <c r="E137" s="18">
        <v>29750</v>
      </c>
      <c r="F137" s="21">
        <v>40.226934369279071</v>
      </c>
      <c r="G137" s="21" cm="1">
        <f t="array" ref="G137">edadCalc(E137)</f>
        <v>44</v>
      </c>
    </row>
    <row r="138" spans="1:7" x14ac:dyDescent="0.35">
      <c r="A138" s="9">
        <f t="shared" si="2"/>
        <v>137</v>
      </c>
      <c r="B138" s="19">
        <v>631996</v>
      </c>
      <c r="C138" s="18">
        <v>44571</v>
      </c>
      <c r="D138" s="15" t="s">
        <v>5</v>
      </c>
      <c r="E138" s="18">
        <v>27441</v>
      </c>
      <c r="F138" s="21">
        <v>34.214955596705444</v>
      </c>
      <c r="G138" s="21" cm="1">
        <f t="array" ref="G138">edadCalc(E138)</f>
        <v>50</v>
      </c>
    </row>
    <row r="139" spans="1:7" x14ac:dyDescent="0.35">
      <c r="A139" s="9">
        <f t="shared" si="2"/>
        <v>138</v>
      </c>
      <c r="B139" s="19">
        <v>878383.6</v>
      </c>
      <c r="C139" s="18">
        <v>44571</v>
      </c>
      <c r="D139" s="15" t="s">
        <v>5</v>
      </c>
      <c r="E139" s="18">
        <v>33471</v>
      </c>
      <c r="F139" s="21">
        <v>50.52270681003921</v>
      </c>
      <c r="G139" s="21" cm="1">
        <f t="array" ref="G139">edadCalc(E139)</f>
        <v>34</v>
      </c>
    </row>
    <row r="140" spans="1:7" x14ac:dyDescent="0.35">
      <c r="A140" s="9">
        <f t="shared" si="2"/>
        <v>139</v>
      </c>
      <c r="B140" s="19">
        <v>340853.55</v>
      </c>
      <c r="C140" s="18">
        <v>44571</v>
      </c>
      <c r="D140" s="15" t="s">
        <v>5</v>
      </c>
      <c r="E140" s="18">
        <v>33031</v>
      </c>
      <c r="F140" s="21">
        <v>49.484228029380745</v>
      </c>
      <c r="G140" s="21" cm="1">
        <f t="array" ref="G140">edadCalc(E140)</f>
        <v>35</v>
      </c>
    </row>
    <row r="141" spans="1:7" x14ac:dyDescent="0.35">
      <c r="A141" s="9">
        <f t="shared" si="2"/>
        <v>140</v>
      </c>
      <c r="B141" s="19">
        <v>751699</v>
      </c>
      <c r="C141" s="18">
        <v>45575</v>
      </c>
      <c r="D141" s="15" t="s">
        <v>5</v>
      </c>
      <c r="E141" s="18">
        <v>34643</v>
      </c>
      <c r="F141" s="21">
        <v>53.638201851667247</v>
      </c>
      <c r="G141" s="21" cm="1">
        <f t="array" ref="G141">edadCalc(E141)</f>
        <v>31</v>
      </c>
    </row>
    <row r="142" spans="1:7" x14ac:dyDescent="0.35">
      <c r="A142" s="9">
        <f t="shared" si="2"/>
        <v>141</v>
      </c>
      <c r="B142" s="19">
        <v>841303.9</v>
      </c>
      <c r="C142" s="18">
        <v>44753</v>
      </c>
      <c r="D142" s="15" t="s">
        <v>6</v>
      </c>
      <c r="E142" s="18">
        <v>36453</v>
      </c>
      <c r="F142" s="21">
        <v>63.956745179223539</v>
      </c>
      <c r="G142" s="21" cm="1">
        <f t="array" ref="G142">edadCalc(E142)</f>
        <v>26</v>
      </c>
    </row>
    <row r="143" spans="1:7" x14ac:dyDescent="0.35">
      <c r="A143" s="9">
        <f t="shared" si="2"/>
        <v>142</v>
      </c>
      <c r="B143" s="19">
        <v>61592.39</v>
      </c>
      <c r="C143" s="18">
        <v>44599</v>
      </c>
      <c r="D143" s="15" t="s">
        <v>6</v>
      </c>
      <c r="E143" s="18">
        <v>28814</v>
      </c>
      <c r="F143" s="21">
        <v>41.405449467237318</v>
      </c>
      <c r="G143" s="21" cm="1">
        <f t="array" ref="G143">edadCalc(E143)</f>
        <v>47</v>
      </c>
    </row>
    <row r="144" spans="1:7" x14ac:dyDescent="0.35">
      <c r="A144" s="9">
        <f t="shared" si="2"/>
        <v>143</v>
      </c>
      <c r="B144" s="19">
        <v>606280</v>
      </c>
      <c r="C144" s="18">
        <v>44713</v>
      </c>
      <c r="D144" s="15" t="s">
        <v>5</v>
      </c>
      <c r="E144" s="18">
        <v>33803</v>
      </c>
      <c r="F144" s="21">
        <v>51.561068751399539</v>
      </c>
      <c r="G144" s="21" cm="1">
        <f t="array" ref="G144">edadCalc(E144)</f>
        <v>33</v>
      </c>
    </row>
    <row r="145" spans="1:7" x14ac:dyDescent="0.35">
      <c r="A145" s="9">
        <f t="shared" si="2"/>
        <v>144</v>
      </c>
      <c r="B145" s="19">
        <v>565516.19999999995</v>
      </c>
      <c r="C145" s="18">
        <v>44613</v>
      </c>
      <c r="D145" s="15" t="s">
        <v>5</v>
      </c>
      <c r="E145" s="18">
        <v>32989</v>
      </c>
      <c r="F145" s="21">
        <v>49.484228029380745</v>
      </c>
      <c r="G145" s="21" cm="1">
        <f t="array" ref="G145">edadCalc(E145)</f>
        <v>35</v>
      </c>
    </row>
    <row r="146" spans="1:7" x14ac:dyDescent="0.35">
      <c r="A146" s="9">
        <f t="shared" si="2"/>
        <v>145</v>
      </c>
      <c r="B146" s="19">
        <v>425547.25</v>
      </c>
      <c r="C146" s="18">
        <v>44641</v>
      </c>
      <c r="D146" s="15" t="s">
        <v>5</v>
      </c>
      <c r="E146" s="18">
        <v>33725</v>
      </c>
      <c r="F146" s="21">
        <v>51.561068751399539</v>
      </c>
      <c r="G146" s="21" cm="1">
        <f t="array" ref="G146">edadCalc(E146)</f>
        <v>33</v>
      </c>
    </row>
    <row r="147" spans="1:7" x14ac:dyDescent="0.35">
      <c r="A147" s="9">
        <f t="shared" si="2"/>
        <v>146</v>
      </c>
      <c r="B147" s="19">
        <v>861150.51</v>
      </c>
      <c r="C147" s="18">
        <v>44615</v>
      </c>
      <c r="D147" s="15" t="s">
        <v>6</v>
      </c>
      <c r="E147" s="18">
        <v>36791</v>
      </c>
      <c r="F147" s="21">
        <v>65.039759654312832</v>
      </c>
      <c r="G147" s="21" cm="1">
        <f t="array" ref="G147">edadCalc(E147)</f>
        <v>25</v>
      </c>
    </row>
    <row r="148" spans="1:7" x14ac:dyDescent="0.35">
      <c r="A148" s="9">
        <f t="shared" si="2"/>
        <v>147</v>
      </c>
      <c r="B148" s="19">
        <v>483375</v>
      </c>
      <c r="C148" s="18">
        <v>44713</v>
      </c>
      <c r="D148" s="15" t="s">
        <v>6</v>
      </c>
      <c r="E148" s="18">
        <v>28630</v>
      </c>
      <c r="F148" s="21">
        <v>41.405449467237318</v>
      </c>
      <c r="G148" s="21" cm="1">
        <f t="array" ref="G148">edadCalc(E148)</f>
        <v>47</v>
      </c>
    </row>
    <row r="149" spans="1:7" x14ac:dyDescent="0.35">
      <c r="A149" s="9">
        <f t="shared" si="2"/>
        <v>148</v>
      </c>
      <c r="B149" s="19">
        <v>1850047.38</v>
      </c>
      <c r="C149" s="18">
        <v>44627</v>
      </c>
      <c r="D149" s="15" t="s">
        <v>6</v>
      </c>
      <c r="E149" s="18">
        <v>34342</v>
      </c>
      <c r="F149" s="21">
        <v>58.54338628503988</v>
      </c>
      <c r="G149" s="21" cm="1">
        <f t="array" ref="G149">edadCalc(E149)</f>
        <v>31</v>
      </c>
    </row>
    <row r="150" spans="1:7" x14ac:dyDescent="0.35">
      <c r="A150" s="9">
        <f t="shared" si="2"/>
        <v>149</v>
      </c>
      <c r="B150" s="19">
        <v>769372</v>
      </c>
      <c r="C150" s="18">
        <v>44641</v>
      </c>
      <c r="D150" s="15" t="s">
        <v>6</v>
      </c>
      <c r="E150" s="18">
        <v>31070</v>
      </c>
      <c r="F150" s="21">
        <v>48.846644248579132</v>
      </c>
      <c r="G150" s="21" cm="1">
        <f t="array" ref="G150">edadCalc(E150)</f>
        <v>40</v>
      </c>
    </row>
    <row r="151" spans="1:7" x14ac:dyDescent="0.35">
      <c r="A151" s="9">
        <f t="shared" si="2"/>
        <v>150</v>
      </c>
      <c r="B151" s="19">
        <v>2243260.2000000002</v>
      </c>
      <c r="C151" s="18">
        <v>44984</v>
      </c>
      <c r="D151" s="15" t="s">
        <v>6</v>
      </c>
      <c r="E151" s="18">
        <v>35207</v>
      </c>
      <c r="F151" s="21">
        <v>60.708537274902611</v>
      </c>
      <c r="G151" s="21" cm="1">
        <f t="array" ref="G151">edadCalc(E151)</f>
        <v>29</v>
      </c>
    </row>
    <row r="152" spans="1:7" x14ac:dyDescent="0.35">
      <c r="A152" s="9">
        <f t="shared" si="2"/>
        <v>151</v>
      </c>
      <c r="B152" s="19">
        <v>566683.30000000005</v>
      </c>
      <c r="C152" s="18">
        <v>44655</v>
      </c>
      <c r="D152" s="15" t="s">
        <v>5</v>
      </c>
      <c r="E152" s="18">
        <v>34796</v>
      </c>
      <c r="F152" s="21">
        <v>54.677010154380199</v>
      </c>
      <c r="G152" s="21" cm="1">
        <f t="array" ref="G152">edadCalc(E152)</f>
        <v>30</v>
      </c>
    </row>
    <row r="153" spans="1:7" x14ac:dyDescent="0.35">
      <c r="A153" s="9">
        <f t="shared" si="2"/>
        <v>152</v>
      </c>
      <c r="B153" s="19">
        <v>672643</v>
      </c>
      <c r="C153" s="18">
        <v>44684</v>
      </c>
      <c r="D153" s="15" t="s">
        <v>5</v>
      </c>
      <c r="E153" s="18">
        <v>32123</v>
      </c>
      <c r="F153" s="21">
        <v>46.372251474501553</v>
      </c>
      <c r="G153" s="21" cm="1">
        <f t="array" ref="G153">edadCalc(E153)</f>
        <v>38</v>
      </c>
    </row>
    <row r="154" spans="1:7" x14ac:dyDescent="0.35">
      <c r="A154" s="9">
        <f t="shared" si="2"/>
        <v>153</v>
      </c>
      <c r="B154" s="19">
        <v>734554</v>
      </c>
      <c r="C154" s="18">
        <v>44697</v>
      </c>
      <c r="D154" s="15" t="s">
        <v>5</v>
      </c>
      <c r="E154" s="18">
        <v>31643</v>
      </c>
      <c r="F154" s="21">
        <v>45.338951219417901</v>
      </c>
      <c r="G154" s="21" cm="1">
        <f t="array" ref="G154">edadCalc(E154)</f>
        <v>39</v>
      </c>
    </row>
    <row r="155" spans="1:7" x14ac:dyDescent="0.35">
      <c r="A155" s="9">
        <f t="shared" si="2"/>
        <v>154</v>
      </c>
      <c r="B155" s="19">
        <v>559450</v>
      </c>
      <c r="C155" s="18">
        <v>44711</v>
      </c>
      <c r="D155" s="15" t="s">
        <v>6</v>
      </c>
      <c r="E155" s="18">
        <v>32367</v>
      </c>
      <c r="F155" s="21">
        <v>52.066974680425012</v>
      </c>
      <c r="G155" s="21" cm="1">
        <f t="array" ref="G155">edadCalc(E155)</f>
        <v>37</v>
      </c>
    </row>
    <row r="156" spans="1:7" x14ac:dyDescent="0.35">
      <c r="A156" s="9">
        <f t="shared" si="2"/>
        <v>155</v>
      </c>
      <c r="B156" s="19">
        <v>1024424</v>
      </c>
      <c r="C156" s="18">
        <v>44711</v>
      </c>
      <c r="D156" s="15" t="s">
        <v>5</v>
      </c>
      <c r="E156" s="18">
        <v>35206</v>
      </c>
      <c r="F156" s="21">
        <v>55.716227293238511</v>
      </c>
      <c r="G156" s="21" cm="1">
        <f t="array" ref="G156">edadCalc(E156)</f>
        <v>29</v>
      </c>
    </row>
    <row r="157" spans="1:7" x14ac:dyDescent="0.35">
      <c r="A157" s="9">
        <f t="shared" si="2"/>
        <v>156</v>
      </c>
      <c r="B157" s="19">
        <v>864066.85</v>
      </c>
      <c r="C157" s="18">
        <v>44739</v>
      </c>
      <c r="D157" s="15" t="s">
        <v>6</v>
      </c>
      <c r="E157" s="18">
        <v>34726</v>
      </c>
      <c r="F157" s="21">
        <v>59.625820995298447</v>
      </c>
      <c r="G157" s="21" cm="1">
        <f t="array" ref="G157">edadCalc(E157)</f>
        <v>30</v>
      </c>
    </row>
    <row r="158" spans="1:7" x14ac:dyDescent="0.35">
      <c r="A158" s="9">
        <f t="shared" si="2"/>
        <v>157</v>
      </c>
      <c r="B158" s="19">
        <v>510122</v>
      </c>
      <c r="C158" s="18">
        <v>44739</v>
      </c>
      <c r="D158" s="15" t="s">
        <v>6</v>
      </c>
      <c r="E158" s="18">
        <v>34863</v>
      </c>
      <c r="F158" s="21">
        <v>59.625820995298447</v>
      </c>
      <c r="G158" s="21" cm="1">
        <f t="array" ref="G158">edadCalc(E158)</f>
        <v>30</v>
      </c>
    </row>
    <row r="159" spans="1:7" x14ac:dyDescent="0.35">
      <c r="A159" s="9">
        <f t="shared" si="2"/>
        <v>158</v>
      </c>
      <c r="B159" s="19">
        <v>539787</v>
      </c>
      <c r="C159" s="18">
        <v>44753</v>
      </c>
      <c r="D159" s="15" t="s">
        <v>5</v>
      </c>
      <c r="E159" s="18">
        <v>32903</v>
      </c>
      <c r="F159" s="21">
        <v>49.484228029380745</v>
      </c>
      <c r="G159" s="21" cm="1">
        <f t="array" ref="G159">edadCalc(E159)</f>
        <v>35</v>
      </c>
    </row>
    <row r="160" spans="1:7" x14ac:dyDescent="0.35">
      <c r="A160" s="9">
        <f t="shared" si="2"/>
        <v>159</v>
      </c>
      <c r="B160" s="19">
        <v>1522792.05</v>
      </c>
      <c r="C160" s="18">
        <v>44768</v>
      </c>
      <c r="D160" s="15" t="s">
        <v>6</v>
      </c>
      <c r="E160" s="18">
        <v>31395</v>
      </c>
      <c r="F160" s="21">
        <v>48.846644248579132</v>
      </c>
      <c r="G160" s="21" cm="1">
        <f t="array" ref="G160">edadCalc(E160)</f>
        <v>40</v>
      </c>
    </row>
    <row r="161" spans="1:7" x14ac:dyDescent="0.35">
      <c r="A161" s="9">
        <f t="shared" si="2"/>
        <v>160</v>
      </c>
      <c r="B161" s="19">
        <v>546613.05000000005</v>
      </c>
      <c r="C161" s="18">
        <v>44767</v>
      </c>
      <c r="D161" s="15" t="s">
        <v>6</v>
      </c>
      <c r="E161" s="18">
        <v>31181</v>
      </c>
      <c r="F161" s="21">
        <v>48.846644248579132</v>
      </c>
      <c r="G161" s="21" cm="1">
        <f t="array" ref="G161">edadCalc(E161)</f>
        <v>40</v>
      </c>
    </row>
    <row r="162" spans="1:7" x14ac:dyDescent="0.35">
      <c r="A162" s="9">
        <f t="shared" si="2"/>
        <v>161</v>
      </c>
      <c r="B162" s="19">
        <v>784984</v>
      </c>
      <c r="C162" s="18">
        <v>44768</v>
      </c>
      <c r="D162" s="15" t="s">
        <v>6</v>
      </c>
      <c r="E162" s="18">
        <v>33069</v>
      </c>
      <c r="F162" s="21">
        <v>54.221478258522609</v>
      </c>
      <c r="G162" s="21" cm="1">
        <f t="array" ref="G162">edadCalc(E162)</f>
        <v>35</v>
      </c>
    </row>
    <row r="163" spans="1:7" x14ac:dyDescent="0.35">
      <c r="A163" s="9">
        <f t="shared" si="2"/>
        <v>162</v>
      </c>
      <c r="B163" s="19">
        <v>782680</v>
      </c>
      <c r="C163" s="18">
        <v>44774</v>
      </c>
      <c r="D163" s="15" t="s">
        <v>5</v>
      </c>
      <c r="E163" s="18">
        <v>27279</v>
      </c>
      <c r="F163" s="21">
        <v>33.233389454955429</v>
      </c>
      <c r="G163" s="21" cm="1">
        <f t="array" ref="G163">edadCalc(E163)</f>
        <v>51</v>
      </c>
    </row>
    <row r="164" spans="1:7" x14ac:dyDescent="0.35">
      <c r="A164" s="9">
        <f t="shared" si="2"/>
        <v>163</v>
      </c>
      <c r="B164" s="19">
        <v>1951565.4</v>
      </c>
      <c r="C164" s="18">
        <v>44823</v>
      </c>
      <c r="D164" s="15" t="s">
        <v>6</v>
      </c>
      <c r="E164" s="18">
        <v>33335</v>
      </c>
      <c r="F164" s="21">
        <v>55.300534903292863</v>
      </c>
      <c r="G164" s="21" cm="1">
        <f t="array" ref="G164">edadCalc(E164)</f>
        <v>34</v>
      </c>
    </row>
    <row r="165" spans="1:7" x14ac:dyDescent="0.35">
      <c r="A165" s="9">
        <f t="shared" si="2"/>
        <v>164</v>
      </c>
      <c r="B165" s="19">
        <v>588205.6</v>
      </c>
      <c r="C165" s="18">
        <v>44823</v>
      </c>
      <c r="D165" s="15" t="s">
        <v>6</v>
      </c>
      <c r="E165" s="18">
        <v>31601</v>
      </c>
      <c r="F165" s="21">
        <v>49.918540883947905</v>
      </c>
      <c r="G165" s="21" cm="1">
        <f t="array" ref="G165">edadCalc(E165)</f>
        <v>39</v>
      </c>
    </row>
    <row r="166" spans="1:7" x14ac:dyDescent="0.35">
      <c r="A166" s="9">
        <f t="shared" si="2"/>
        <v>165</v>
      </c>
      <c r="B166" s="19">
        <v>489974</v>
      </c>
      <c r="C166" s="18">
        <v>44837</v>
      </c>
      <c r="D166" s="15" t="s">
        <v>5</v>
      </c>
      <c r="E166" s="18">
        <v>28992</v>
      </c>
      <c r="F166" s="21">
        <v>38.204886974416027</v>
      </c>
      <c r="G166" s="21" cm="1">
        <f t="array" ref="G166">edadCalc(E166)</f>
        <v>46</v>
      </c>
    </row>
    <row r="167" spans="1:7" x14ac:dyDescent="0.35">
      <c r="A167" s="9">
        <f t="shared" si="2"/>
        <v>166</v>
      </c>
      <c r="B167" s="19">
        <v>617762</v>
      </c>
      <c r="C167" s="18">
        <v>44851</v>
      </c>
      <c r="D167" s="15" t="s">
        <v>6</v>
      </c>
      <c r="E167" s="18">
        <v>33787</v>
      </c>
      <c r="F167" s="21">
        <v>56.380568080323478</v>
      </c>
      <c r="G167" s="21" cm="1">
        <f t="array" ref="G167">edadCalc(E167)</f>
        <v>33</v>
      </c>
    </row>
    <row r="168" spans="1:7" x14ac:dyDescent="0.35">
      <c r="A168" s="9">
        <f t="shared" si="2"/>
        <v>167</v>
      </c>
      <c r="B168" s="19">
        <v>405111.6</v>
      </c>
      <c r="C168" s="18">
        <v>44879</v>
      </c>
      <c r="D168" s="15" t="s">
        <v>5</v>
      </c>
      <c r="E168" s="18">
        <v>33306</v>
      </c>
      <c r="F168" s="21">
        <v>50.52270681003921</v>
      </c>
      <c r="G168" s="21" cm="1">
        <f t="array" ref="G168">edadCalc(E168)</f>
        <v>34</v>
      </c>
    </row>
    <row r="169" spans="1:7" x14ac:dyDescent="0.35">
      <c r="A169" s="9">
        <f t="shared" si="2"/>
        <v>168</v>
      </c>
      <c r="B169" s="19">
        <v>1328766.05</v>
      </c>
      <c r="C169" s="18">
        <v>45236</v>
      </c>
      <c r="D169" s="15" t="s">
        <v>6</v>
      </c>
      <c r="E169" s="18">
        <v>34340</v>
      </c>
      <c r="F169" s="21">
        <v>58.54338628503988</v>
      </c>
      <c r="G169" s="21" cm="1">
        <f t="array" ref="G169">edadCalc(E169)</f>
        <v>31</v>
      </c>
    </row>
    <row r="170" spans="1:7" x14ac:dyDescent="0.35">
      <c r="A170" s="9">
        <f t="shared" si="2"/>
        <v>169</v>
      </c>
      <c r="B170" s="19">
        <v>850747.6</v>
      </c>
      <c r="C170" s="18">
        <v>45201</v>
      </c>
      <c r="D170" s="15" t="s">
        <v>6</v>
      </c>
      <c r="E170" s="18">
        <v>36630</v>
      </c>
      <c r="F170" s="21">
        <v>65.039759654312832</v>
      </c>
      <c r="G170" s="21" cm="1">
        <f t="array" ref="G170">edadCalc(E170)</f>
        <v>25</v>
      </c>
    </row>
    <row r="171" spans="1:7" x14ac:dyDescent="0.35">
      <c r="A171" s="9">
        <f t="shared" si="2"/>
        <v>170</v>
      </c>
      <c r="B171" s="19">
        <v>823111.6</v>
      </c>
      <c r="C171" s="18">
        <v>44956</v>
      </c>
      <c r="D171" s="15" t="s">
        <v>5</v>
      </c>
      <c r="E171" s="18">
        <v>29896</v>
      </c>
      <c r="F171" s="21">
        <v>40.226934369279071</v>
      </c>
      <c r="G171" s="21" cm="1">
        <f t="array" ref="G171">edadCalc(E171)</f>
        <v>44</v>
      </c>
    </row>
    <row r="172" spans="1:7" x14ac:dyDescent="0.35">
      <c r="A172" s="9">
        <f t="shared" si="2"/>
        <v>171</v>
      </c>
      <c r="B172" s="19">
        <v>825263.3</v>
      </c>
      <c r="C172" s="18">
        <v>45012</v>
      </c>
      <c r="D172" s="15" t="s">
        <v>6</v>
      </c>
      <c r="E172" s="18">
        <v>30129</v>
      </c>
      <c r="F172" s="21">
        <v>45.641752242691531</v>
      </c>
      <c r="G172" s="21" cm="1">
        <f t="array" ref="G172">edadCalc(E172)</f>
        <v>43</v>
      </c>
    </row>
    <row r="173" spans="1:7" x14ac:dyDescent="0.35">
      <c r="A173" s="9">
        <f t="shared" si="2"/>
        <v>172</v>
      </c>
      <c r="B173" s="19">
        <v>1730016.1</v>
      </c>
      <c r="C173" s="18">
        <v>44956</v>
      </c>
      <c r="D173" s="15" t="s">
        <v>6</v>
      </c>
      <c r="E173" s="18">
        <v>31086</v>
      </c>
      <c r="F173" s="21">
        <v>48.846644248579132</v>
      </c>
      <c r="G173" s="21" cm="1">
        <f t="array" ref="G173">edadCalc(E173)</f>
        <v>40</v>
      </c>
    </row>
    <row r="174" spans="1:7" x14ac:dyDescent="0.35">
      <c r="A174" s="9">
        <f t="shared" si="2"/>
        <v>173</v>
      </c>
      <c r="B174" s="19">
        <v>880666.29</v>
      </c>
      <c r="C174" s="18">
        <v>44991</v>
      </c>
      <c r="D174" s="15" t="s">
        <v>5</v>
      </c>
      <c r="E174" s="18">
        <v>33451</v>
      </c>
      <c r="F174" s="21">
        <v>50.52270681003921</v>
      </c>
      <c r="G174" s="21" cm="1">
        <f t="array" ref="G174">edadCalc(E174)</f>
        <v>34</v>
      </c>
    </row>
    <row r="175" spans="1:7" x14ac:dyDescent="0.35">
      <c r="A175" s="9">
        <f t="shared" si="2"/>
        <v>174</v>
      </c>
      <c r="B175" s="19">
        <v>1857589</v>
      </c>
      <c r="C175" s="18">
        <v>44991</v>
      </c>
      <c r="D175" s="15" t="s">
        <v>6</v>
      </c>
      <c r="E175" s="18">
        <v>35964</v>
      </c>
      <c r="F175" s="21">
        <v>62.873980638676535</v>
      </c>
      <c r="G175" s="21" cm="1">
        <f t="array" ref="G175">edadCalc(E175)</f>
        <v>27</v>
      </c>
    </row>
    <row r="176" spans="1:7" x14ac:dyDescent="0.35">
      <c r="A176" s="9">
        <f t="shared" si="2"/>
        <v>175</v>
      </c>
      <c r="B176" s="19">
        <v>1976811.4</v>
      </c>
      <c r="C176" s="18">
        <v>45005</v>
      </c>
      <c r="D176" s="15" t="s">
        <v>5</v>
      </c>
      <c r="E176" s="18">
        <v>30341</v>
      </c>
      <c r="F176" s="21">
        <v>42.259851835773354</v>
      </c>
      <c r="G176" s="21" cm="1">
        <f t="array" ref="G176">edadCalc(E176)</f>
        <v>42</v>
      </c>
    </row>
    <row r="177" spans="1:7" x14ac:dyDescent="0.35">
      <c r="A177" s="9">
        <f t="shared" si="2"/>
        <v>176</v>
      </c>
      <c r="B177" s="19">
        <v>1906245.4</v>
      </c>
      <c r="C177" s="18">
        <v>45418</v>
      </c>
      <c r="D177" s="15" t="s">
        <v>5</v>
      </c>
      <c r="E177" s="18">
        <v>37274</v>
      </c>
      <c r="F177" s="21">
        <v>61.96645185534679</v>
      </c>
      <c r="G177" s="21" cm="1">
        <f t="array" ref="G177">edadCalc(E177)</f>
        <v>23</v>
      </c>
    </row>
    <row r="178" spans="1:7" x14ac:dyDescent="0.35">
      <c r="A178" s="9">
        <f t="shared" si="2"/>
        <v>177</v>
      </c>
      <c r="B178" s="19">
        <v>766247.5</v>
      </c>
      <c r="C178" s="18">
        <v>45138</v>
      </c>
      <c r="D178" s="15" t="s">
        <v>5</v>
      </c>
      <c r="E178" s="18">
        <v>34503</v>
      </c>
      <c r="F178" s="21">
        <v>53.638201851667247</v>
      </c>
      <c r="G178" s="21" cm="1">
        <f t="array" ref="G178">edadCalc(E178)</f>
        <v>31</v>
      </c>
    </row>
    <row r="179" spans="1:7" x14ac:dyDescent="0.35">
      <c r="A179" s="9">
        <f t="shared" si="2"/>
        <v>178</v>
      </c>
      <c r="B179" s="19">
        <v>787529</v>
      </c>
      <c r="C179" s="18">
        <v>45145</v>
      </c>
      <c r="D179" s="15" t="s">
        <v>6</v>
      </c>
      <c r="E179" s="18">
        <v>35051</v>
      </c>
      <c r="F179" s="21">
        <v>59.625820995298447</v>
      </c>
      <c r="G179" s="21" cm="1">
        <f t="array" ref="G179">edadCalc(E179)</f>
        <v>30</v>
      </c>
    </row>
    <row r="180" spans="1:7" x14ac:dyDescent="0.35">
      <c r="A180" s="9">
        <f t="shared" si="2"/>
        <v>179</v>
      </c>
      <c r="B180" s="19">
        <v>766508</v>
      </c>
      <c r="C180" s="18">
        <v>45236</v>
      </c>
      <c r="D180" s="15" t="s">
        <v>5</v>
      </c>
      <c r="E180" s="18">
        <v>36836</v>
      </c>
      <c r="F180" s="21">
        <v>59.881520197985225</v>
      </c>
      <c r="G180" s="21" cm="1">
        <f t="array" ref="G180">edadCalc(E180)</f>
        <v>25</v>
      </c>
    </row>
    <row r="181" spans="1:7" x14ac:dyDescent="0.35">
      <c r="A181" s="9">
        <f t="shared" si="2"/>
        <v>180</v>
      </c>
      <c r="B181" s="19">
        <v>524135</v>
      </c>
      <c r="C181" s="18">
        <v>45201</v>
      </c>
      <c r="D181" s="15" t="s">
        <v>6</v>
      </c>
      <c r="E181" s="18">
        <v>34389</v>
      </c>
      <c r="F181" s="21">
        <v>58.54338628503988</v>
      </c>
      <c r="G181" s="21" cm="1">
        <f t="array" ref="G181">edadCalc(E181)</f>
        <v>31</v>
      </c>
    </row>
    <row r="182" spans="1:7" x14ac:dyDescent="0.35">
      <c r="A182" s="9">
        <f t="shared" si="2"/>
        <v>181</v>
      </c>
      <c r="B182" s="19">
        <v>2051722.1</v>
      </c>
      <c r="C182" s="18">
        <v>45250</v>
      </c>
      <c r="D182" s="15" t="s">
        <v>6</v>
      </c>
      <c r="E182" s="18">
        <v>33981</v>
      </c>
      <c r="F182" s="21">
        <v>57.461511670365518</v>
      </c>
      <c r="G182" s="21" cm="1">
        <f t="array" ref="G182">edadCalc(E182)</f>
        <v>32</v>
      </c>
    </row>
    <row r="183" spans="1:7" x14ac:dyDescent="0.35">
      <c r="A183" s="9">
        <f t="shared" si="2"/>
        <v>182</v>
      </c>
      <c r="B183" s="19">
        <v>767935.05</v>
      </c>
      <c r="C183" s="18">
        <v>45236</v>
      </c>
      <c r="D183" s="15" t="s">
        <v>5</v>
      </c>
      <c r="E183" s="18">
        <v>35546</v>
      </c>
      <c r="F183" s="21">
        <v>56.756489657566817</v>
      </c>
      <c r="G183" s="21" cm="1">
        <f t="array" ref="G183">edadCalc(E183)</f>
        <v>28</v>
      </c>
    </row>
    <row r="184" spans="1:7" x14ac:dyDescent="0.35">
      <c r="A184" s="9">
        <f t="shared" si="2"/>
        <v>183</v>
      </c>
      <c r="B184" s="19">
        <v>757253.6</v>
      </c>
      <c r="C184" s="18">
        <v>45229</v>
      </c>
      <c r="D184" s="15" t="s">
        <v>5</v>
      </c>
      <c r="E184" s="18">
        <v>32697</v>
      </c>
      <c r="F184" s="21">
        <v>48.445727179510286</v>
      </c>
      <c r="G184" s="21" cm="1">
        <f t="array" ref="G184">edadCalc(E184)</f>
        <v>36</v>
      </c>
    </row>
    <row r="185" spans="1:7" x14ac:dyDescent="0.35">
      <c r="A185" s="9">
        <f t="shared" si="2"/>
        <v>184</v>
      </c>
      <c r="B185" s="19">
        <v>539036</v>
      </c>
      <c r="C185" s="18">
        <v>45264</v>
      </c>
      <c r="D185" s="15" t="s">
        <v>5</v>
      </c>
      <c r="E185" s="18">
        <v>29682</v>
      </c>
      <c r="F185" s="21">
        <v>40.226934369279071</v>
      </c>
      <c r="G185" s="21" cm="1">
        <f t="array" ref="G185">edadCalc(E185)</f>
        <v>44</v>
      </c>
    </row>
    <row r="186" spans="1:7" x14ac:dyDescent="0.35">
      <c r="A186" s="9">
        <f t="shared" si="2"/>
        <v>185</v>
      </c>
      <c r="B186" s="19">
        <v>2061217.4</v>
      </c>
      <c r="C186" s="18">
        <v>45264</v>
      </c>
      <c r="D186" s="15" t="s">
        <v>6</v>
      </c>
      <c r="E186" s="18">
        <v>33362</v>
      </c>
      <c r="F186" s="21">
        <v>55.300534903292863</v>
      </c>
      <c r="G186" s="21" cm="1">
        <f t="array" ref="G186">edadCalc(E186)</f>
        <v>34</v>
      </c>
    </row>
    <row r="187" spans="1:7" x14ac:dyDescent="0.35">
      <c r="A187" s="9">
        <f t="shared" si="2"/>
        <v>186</v>
      </c>
      <c r="B187" s="19">
        <v>896689</v>
      </c>
      <c r="C187" s="18">
        <v>45600</v>
      </c>
      <c r="D187" s="15" t="s">
        <v>6</v>
      </c>
      <c r="E187" s="18">
        <v>37025</v>
      </c>
      <c r="F187" s="21">
        <v>66.122802062272186</v>
      </c>
      <c r="G187" s="21" cm="1">
        <f t="array" ref="G187">edadCalc(E187)</f>
        <v>24</v>
      </c>
    </row>
    <row r="188" spans="1:7" x14ac:dyDescent="0.35">
      <c r="A188" s="9">
        <f t="shared" si="2"/>
        <v>187</v>
      </c>
      <c r="B188" s="19">
        <v>619379</v>
      </c>
      <c r="C188" s="18">
        <v>45369</v>
      </c>
      <c r="D188" s="15" t="s">
        <v>6</v>
      </c>
      <c r="E188" s="18">
        <v>33852</v>
      </c>
      <c r="F188" s="21">
        <v>56.380568080323478</v>
      </c>
      <c r="G188" s="21" cm="1">
        <f t="array" ref="G188">edadCalc(E188)</f>
        <v>33</v>
      </c>
    </row>
    <row r="189" spans="1:7" x14ac:dyDescent="0.35">
      <c r="A189" s="9">
        <f t="shared" si="2"/>
        <v>188</v>
      </c>
      <c r="B189" s="19">
        <v>850747.6</v>
      </c>
      <c r="C189" s="18">
        <v>45390</v>
      </c>
      <c r="D189" s="15" t="s">
        <v>6</v>
      </c>
      <c r="E189" s="18">
        <v>35073</v>
      </c>
      <c r="F189" s="21">
        <v>60.708537274902611</v>
      </c>
      <c r="G189" s="21" cm="1">
        <f t="array" ref="G189">edadCalc(E189)</f>
        <v>29</v>
      </c>
    </row>
    <row r="190" spans="1:7" x14ac:dyDescent="0.35">
      <c r="A190" s="9">
        <f t="shared" si="2"/>
        <v>189</v>
      </c>
      <c r="B190" s="19">
        <v>1790164.49</v>
      </c>
      <c r="C190" s="18">
        <v>45418</v>
      </c>
      <c r="D190" s="15" t="s">
        <v>6</v>
      </c>
      <c r="E190" s="18">
        <v>35118</v>
      </c>
      <c r="F190" s="21">
        <v>60.708537274902611</v>
      </c>
      <c r="G190" s="21" cm="1">
        <f t="array" ref="G190">edadCalc(E190)</f>
        <v>29</v>
      </c>
    </row>
    <row r="191" spans="1:7" x14ac:dyDescent="0.35">
      <c r="A191" s="9">
        <f t="shared" si="2"/>
        <v>190</v>
      </c>
      <c r="B191" s="19">
        <v>1379700</v>
      </c>
      <c r="C191" s="18">
        <v>45418</v>
      </c>
      <c r="D191" s="15" t="s">
        <v>6</v>
      </c>
      <c r="E191" s="18">
        <v>36096</v>
      </c>
      <c r="F191" s="21">
        <v>62.873980638676535</v>
      </c>
      <c r="G191" s="21" cm="1">
        <f t="array" ref="G191">edadCalc(E191)</f>
        <v>27</v>
      </c>
    </row>
    <row r="192" spans="1:7" x14ac:dyDescent="0.35">
      <c r="A192" s="9">
        <f t="shared" si="2"/>
        <v>191</v>
      </c>
      <c r="B192" s="19">
        <v>2120993.7999999998</v>
      </c>
      <c r="C192" s="18">
        <v>45418</v>
      </c>
      <c r="D192" s="15" t="s">
        <v>5</v>
      </c>
      <c r="E192" s="18">
        <v>35858</v>
      </c>
      <c r="F192" s="21">
        <v>57.797859179317832</v>
      </c>
      <c r="G192" s="21" cm="1">
        <f t="array" ref="G192">edadCalc(E192)</f>
        <v>27</v>
      </c>
    </row>
    <row r="193" spans="1:7" x14ac:dyDescent="0.35">
      <c r="A193" s="9">
        <f t="shared" si="2"/>
        <v>192</v>
      </c>
      <c r="B193" s="19">
        <v>1789927</v>
      </c>
      <c r="C193" s="18">
        <v>45418</v>
      </c>
      <c r="D193" s="15" t="s">
        <v>5</v>
      </c>
      <c r="E193" s="18">
        <v>34961</v>
      </c>
      <c r="F193" s="21">
        <v>54.677010154380199</v>
      </c>
      <c r="G193" s="21" cm="1">
        <f t="array" ref="G193">edadCalc(E193)</f>
        <v>30</v>
      </c>
    </row>
    <row r="194" spans="1:7" x14ac:dyDescent="0.35">
      <c r="A194" s="9">
        <f t="shared" si="2"/>
        <v>193</v>
      </c>
      <c r="B194" s="19">
        <v>737046</v>
      </c>
      <c r="C194" s="18">
        <v>45421</v>
      </c>
      <c r="D194" s="15" t="s">
        <v>6</v>
      </c>
      <c r="E194" s="18">
        <v>31418</v>
      </c>
      <c r="F194" s="21">
        <v>49.918540883947905</v>
      </c>
      <c r="G194" s="21" cm="1">
        <f t="array" ref="G194">edadCalc(E194)</f>
        <v>39</v>
      </c>
    </row>
    <row r="195" spans="1:7" x14ac:dyDescent="0.35">
      <c r="A195" s="9">
        <f t="shared" si="2"/>
        <v>194</v>
      </c>
      <c r="B195" s="19">
        <v>832859.91</v>
      </c>
      <c r="C195" s="18">
        <v>45446</v>
      </c>
      <c r="D195" s="15" t="s">
        <v>5</v>
      </c>
      <c r="E195" s="18">
        <v>32567</v>
      </c>
      <c r="F195" s="21">
        <v>48.445727179510286</v>
      </c>
      <c r="G195" s="21" cm="1">
        <f t="array" ref="G195">edadCalc(E195)</f>
        <v>36</v>
      </c>
    </row>
    <row r="196" spans="1:7" x14ac:dyDescent="0.35">
      <c r="A196" s="9">
        <f t="shared" ref="A196:A225" si="3">+A195+1</f>
        <v>195</v>
      </c>
      <c r="B196" s="19">
        <v>3018720.6</v>
      </c>
      <c r="C196" s="18">
        <v>45474</v>
      </c>
      <c r="D196" s="15" t="s">
        <v>5</v>
      </c>
      <c r="E196" s="18">
        <v>33414</v>
      </c>
      <c r="F196" s="21">
        <v>50.52270681003921</v>
      </c>
      <c r="G196" s="21" cm="1">
        <f t="array" ref="G196">edadCalc(E196)</f>
        <v>34</v>
      </c>
    </row>
    <row r="197" spans="1:7" x14ac:dyDescent="0.35">
      <c r="A197" s="9">
        <f t="shared" si="3"/>
        <v>196</v>
      </c>
      <c r="B197" s="19">
        <v>1795546.5</v>
      </c>
      <c r="C197" s="18">
        <v>45677</v>
      </c>
      <c r="D197" s="15" t="s">
        <v>5</v>
      </c>
      <c r="E197" s="18">
        <v>37725</v>
      </c>
      <c r="F197" s="21">
        <v>63.010592607496712</v>
      </c>
      <c r="G197" s="21" cm="1">
        <f t="array" ref="G197">edadCalc(E197)</f>
        <v>22</v>
      </c>
    </row>
    <row r="198" spans="1:7" x14ac:dyDescent="0.35">
      <c r="A198" s="9">
        <f t="shared" si="3"/>
        <v>197</v>
      </c>
      <c r="B198" s="19">
        <v>1599447.75</v>
      </c>
      <c r="C198" s="18">
        <v>45677</v>
      </c>
      <c r="D198" s="15" t="s">
        <v>5</v>
      </c>
      <c r="E198" s="18">
        <v>37239</v>
      </c>
      <c r="F198" s="21">
        <v>60.923628189249044</v>
      </c>
      <c r="G198" s="21" cm="1">
        <f t="array" ref="G198">edadCalc(E198)</f>
        <v>24</v>
      </c>
    </row>
    <row r="199" spans="1:7" x14ac:dyDescent="0.35">
      <c r="A199" s="9">
        <f t="shared" si="3"/>
        <v>198</v>
      </c>
      <c r="B199" s="19">
        <v>765779</v>
      </c>
      <c r="C199" s="18">
        <v>45509</v>
      </c>
      <c r="D199" s="15" t="s">
        <v>5</v>
      </c>
      <c r="E199" s="18">
        <v>33422</v>
      </c>
      <c r="F199" s="21">
        <v>50.52270681003921</v>
      </c>
      <c r="G199" s="21" cm="1">
        <f t="array" ref="G199">edadCalc(E199)</f>
        <v>34</v>
      </c>
    </row>
    <row r="200" spans="1:7" x14ac:dyDescent="0.35">
      <c r="A200" s="9">
        <f t="shared" si="3"/>
        <v>199</v>
      </c>
      <c r="B200" s="19">
        <v>607171.75</v>
      </c>
      <c r="C200" s="18">
        <v>45516</v>
      </c>
      <c r="D200" s="15" t="s">
        <v>6</v>
      </c>
      <c r="E200" s="18">
        <v>36704</v>
      </c>
      <c r="F200" s="21">
        <v>65.039759654312832</v>
      </c>
      <c r="G200" s="21" cm="1">
        <f t="array" ref="G200">edadCalc(E200)</f>
        <v>25</v>
      </c>
    </row>
    <row r="201" spans="1:7" x14ac:dyDescent="0.35">
      <c r="A201" s="9">
        <f t="shared" si="3"/>
        <v>200</v>
      </c>
      <c r="B201" s="19">
        <v>853801</v>
      </c>
      <c r="C201" s="18">
        <v>45558</v>
      </c>
      <c r="D201" s="15" t="s">
        <v>5</v>
      </c>
      <c r="E201" s="18">
        <v>36888</v>
      </c>
      <c r="F201" s="21">
        <v>59.881520197985225</v>
      </c>
      <c r="G201" s="21" cm="1">
        <f t="array" ref="G201">edadCalc(E201)</f>
        <v>25</v>
      </c>
    </row>
    <row r="202" spans="1:7" x14ac:dyDescent="0.35">
      <c r="A202" s="9">
        <f t="shared" si="3"/>
        <v>201</v>
      </c>
      <c r="B202" s="19">
        <v>1750556.6</v>
      </c>
      <c r="C202" s="18">
        <v>45572</v>
      </c>
      <c r="D202" s="15" t="s">
        <v>5</v>
      </c>
      <c r="E202" s="18">
        <v>27334</v>
      </c>
      <c r="F202" s="21">
        <v>33.233389454955429</v>
      </c>
      <c r="G202" s="21" cm="1">
        <f t="array" ref="G202">edadCalc(E202)</f>
        <v>51</v>
      </c>
    </row>
    <row r="203" spans="1:7" x14ac:dyDescent="0.35">
      <c r="A203" s="9">
        <f t="shared" si="3"/>
        <v>202</v>
      </c>
      <c r="B203" s="19">
        <v>892201.6</v>
      </c>
      <c r="C203" s="18">
        <v>45628</v>
      </c>
      <c r="D203" s="15" t="s">
        <v>5</v>
      </c>
      <c r="E203" s="18">
        <v>36021</v>
      </c>
      <c r="F203" s="21">
        <v>57.797859179317832</v>
      </c>
      <c r="G203" s="21" cm="1">
        <f t="array" ref="G203">edadCalc(E203)</f>
        <v>27</v>
      </c>
    </row>
    <row r="204" spans="1:7" x14ac:dyDescent="0.35">
      <c r="A204" s="9">
        <f t="shared" si="3"/>
        <v>203</v>
      </c>
      <c r="B204" s="19">
        <v>644864</v>
      </c>
      <c r="C204" s="18">
        <v>45663</v>
      </c>
      <c r="D204" s="15" t="s">
        <v>5</v>
      </c>
      <c r="E204" s="18">
        <v>27456</v>
      </c>
      <c r="F204" s="21">
        <v>34.214955596705444</v>
      </c>
      <c r="G204" s="21" cm="1">
        <f t="array" ref="G204">edadCalc(E204)</f>
        <v>50</v>
      </c>
    </row>
    <row r="205" spans="1:7" x14ac:dyDescent="0.35">
      <c r="A205" s="9">
        <f t="shared" si="3"/>
        <v>204</v>
      </c>
      <c r="B205" s="19">
        <v>725934.7</v>
      </c>
      <c r="C205" s="18">
        <v>45691</v>
      </c>
      <c r="D205" s="15" t="s">
        <v>6</v>
      </c>
      <c r="E205" s="18">
        <v>29222</v>
      </c>
      <c r="F205" s="21">
        <v>43.516970221614415</v>
      </c>
      <c r="G205" s="21" cm="1">
        <f t="array" ref="G205">edadCalc(E205)</f>
        <v>45</v>
      </c>
    </row>
    <row r="206" spans="1:7" x14ac:dyDescent="0.35">
      <c r="A206" s="9">
        <f t="shared" si="3"/>
        <v>205</v>
      </c>
      <c r="B206" s="19">
        <v>871494.7</v>
      </c>
      <c r="C206" s="18">
        <v>45705</v>
      </c>
      <c r="D206" s="15" t="s">
        <v>5</v>
      </c>
      <c r="E206" s="18">
        <v>26959</v>
      </c>
      <c r="F206" s="21">
        <v>32.258862212058318</v>
      </c>
      <c r="G206" s="21" cm="1">
        <f t="array" ref="G206">edadCalc(E206)</f>
        <v>52</v>
      </c>
    </row>
    <row r="207" spans="1:7" x14ac:dyDescent="0.35">
      <c r="A207" s="9">
        <f t="shared" si="3"/>
        <v>206</v>
      </c>
      <c r="B207" s="19">
        <v>598004</v>
      </c>
      <c r="C207" s="18">
        <v>45733</v>
      </c>
      <c r="D207" s="15" t="s">
        <v>5</v>
      </c>
      <c r="E207" s="18">
        <v>29787</v>
      </c>
      <c r="F207" s="21">
        <v>40.226934369279071</v>
      </c>
      <c r="G207" s="21" cm="1">
        <f t="array" ref="G207">edadCalc(E207)</f>
        <v>44</v>
      </c>
    </row>
    <row r="208" spans="1:7" x14ac:dyDescent="0.35">
      <c r="A208" s="9">
        <f t="shared" si="3"/>
        <v>207</v>
      </c>
      <c r="B208" s="19">
        <v>262223.34999999998</v>
      </c>
      <c r="C208" s="18">
        <v>45768</v>
      </c>
      <c r="D208" s="15" t="s">
        <v>5</v>
      </c>
      <c r="E208" s="18">
        <v>33137</v>
      </c>
      <c r="F208" s="21">
        <v>49.484228029380745</v>
      </c>
      <c r="G208" s="21" cm="1">
        <f t="array" ref="G208">edadCalc(E208)</f>
        <v>35</v>
      </c>
    </row>
    <row r="209" spans="1:7" x14ac:dyDescent="0.35">
      <c r="A209" s="9">
        <f t="shared" si="3"/>
        <v>208</v>
      </c>
      <c r="B209" s="19">
        <v>552763.44999999995</v>
      </c>
      <c r="C209" s="18">
        <v>45796</v>
      </c>
      <c r="D209" s="15" t="s">
        <v>6</v>
      </c>
      <c r="E209" s="18">
        <v>29357</v>
      </c>
      <c r="F209" s="21">
        <v>43.516970221614415</v>
      </c>
      <c r="G209" s="21" cm="1">
        <f t="array" ref="G209">edadCalc(E209)</f>
        <v>45</v>
      </c>
    </row>
    <row r="210" spans="1:7" x14ac:dyDescent="0.35">
      <c r="A210" s="9">
        <f t="shared" si="3"/>
        <v>209</v>
      </c>
      <c r="B210" s="19">
        <v>643477.6</v>
      </c>
      <c r="C210" s="18">
        <v>45824</v>
      </c>
      <c r="D210" s="15" t="s">
        <v>6</v>
      </c>
      <c r="E210" s="18">
        <v>33585</v>
      </c>
      <c r="F210" s="21">
        <v>55.300534903292863</v>
      </c>
      <c r="G210" s="21" cm="1">
        <f t="array" ref="G210">edadCalc(E210)</f>
        <v>34</v>
      </c>
    </row>
    <row r="211" spans="1:7" x14ac:dyDescent="0.35">
      <c r="A211" s="9">
        <f t="shared" si="3"/>
        <v>210</v>
      </c>
      <c r="B211" s="19">
        <v>195573.15</v>
      </c>
      <c r="C211" s="18">
        <v>45810</v>
      </c>
      <c r="D211" s="15" t="s">
        <v>5</v>
      </c>
      <c r="E211" s="18">
        <v>33376</v>
      </c>
      <c r="F211" s="21">
        <v>50.52270681003921</v>
      </c>
      <c r="G211" s="21" cm="1">
        <f t="array" ref="G211">edadCalc(E211)</f>
        <v>34</v>
      </c>
    </row>
    <row r="212" spans="1:7" x14ac:dyDescent="0.35">
      <c r="A212" s="9">
        <f t="shared" si="3"/>
        <v>211</v>
      </c>
      <c r="B212" s="19">
        <v>1570390</v>
      </c>
      <c r="C212" s="18">
        <v>45810</v>
      </c>
      <c r="D212" s="15" t="s">
        <v>6</v>
      </c>
      <c r="E212" s="18">
        <v>32504</v>
      </c>
      <c r="F212" s="21">
        <v>52.066974680425012</v>
      </c>
      <c r="G212" s="21" cm="1">
        <f t="array" ref="G212">edadCalc(E212)</f>
        <v>37</v>
      </c>
    </row>
    <row r="213" spans="1:7" x14ac:dyDescent="0.35">
      <c r="A213" s="9">
        <f t="shared" si="3"/>
        <v>212</v>
      </c>
      <c r="B213" s="19">
        <v>583737.5</v>
      </c>
      <c r="C213" s="18">
        <v>45852</v>
      </c>
      <c r="D213" s="15" t="s">
        <v>6</v>
      </c>
      <c r="E213" s="18">
        <v>35078</v>
      </c>
      <c r="F213" s="21">
        <v>60.708537274902611</v>
      </c>
      <c r="G213" s="21" cm="1">
        <f t="array" ref="G213">edadCalc(E213)</f>
        <v>29</v>
      </c>
    </row>
    <row r="214" spans="1:7" x14ac:dyDescent="0.35">
      <c r="A214" s="9">
        <f t="shared" si="3"/>
        <v>213</v>
      </c>
      <c r="B214" s="19">
        <v>852899.5</v>
      </c>
      <c r="C214" s="18">
        <v>45873</v>
      </c>
      <c r="D214" s="15" t="s">
        <v>5</v>
      </c>
      <c r="E214" s="18">
        <v>32378</v>
      </c>
      <c r="F214" s="21">
        <v>47.408100340778319</v>
      </c>
      <c r="G214" s="21" cm="1">
        <f t="array" ref="G214">edadCalc(E214)</f>
        <v>37</v>
      </c>
    </row>
    <row r="215" spans="1:7" x14ac:dyDescent="0.35">
      <c r="A215" s="9">
        <f t="shared" si="3"/>
        <v>214</v>
      </c>
      <c r="B215" s="19">
        <v>486524.85</v>
      </c>
      <c r="C215" s="18">
        <v>45880</v>
      </c>
      <c r="D215" s="15" t="s">
        <v>6</v>
      </c>
      <c r="E215" s="18">
        <v>33721</v>
      </c>
      <c r="F215" s="21">
        <v>56.380568080323478</v>
      </c>
      <c r="G215" s="21" cm="1">
        <f t="array" ref="G215">edadCalc(E215)</f>
        <v>33</v>
      </c>
    </row>
    <row r="216" spans="1:7" x14ac:dyDescent="0.35">
      <c r="A216" s="9">
        <f t="shared" si="3"/>
        <v>215</v>
      </c>
      <c r="B216" s="19">
        <v>2827234.5</v>
      </c>
      <c r="C216" s="18">
        <v>45915</v>
      </c>
      <c r="D216" s="15" t="s">
        <v>6</v>
      </c>
      <c r="E216" s="18">
        <v>36728</v>
      </c>
      <c r="F216" s="21">
        <v>65.039759654312832</v>
      </c>
      <c r="G216" s="21" cm="1">
        <f t="array" ref="G216">edadCalc(E216)</f>
        <v>25</v>
      </c>
    </row>
    <row r="217" spans="1:7" x14ac:dyDescent="0.35">
      <c r="A217" s="9">
        <f t="shared" si="3"/>
        <v>216</v>
      </c>
      <c r="B217" s="19">
        <v>779818</v>
      </c>
      <c r="C217" s="18">
        <v>45908</v>
      </c>
      <c r="D217" s="15" t="s">
        <v>6</v>
      </c>
      <c r="E217" s="18">
        <v>36933</v>
      </c>
      <c r="F217" s="21">
        <v>66.122802062272186</v>
      </c>
      <c r="G217" s="21" cm="1">
        <f t="array" ref="G217">edadCalc(E217)</f>
        <v>24</v>
      </c>
    </row>
    <row r="218" spans="1:7" x14ac:dyDescent="0.35">
      <c r="A218" s="9">
        <f t="shared" si="3"/>
        <v>217</v>
      </c>
      <c r="B218" s="19">
        <v>1833468.8</v>
      </c>
      <c r="C218" s="18">
        <v>45922</v>
      </c>
      <c r="D218" s="15" t="s">
        <v>6</v>
      </c>
      <c r="E218" s="18">
        <v>34956</v>
      </c>
      <c r="F218" s="21">
        <v>59.625820995298447</v>
      </c>
      <c r="G218" s="21" cm="1">
        <f t="array" ref="G218">edadCalc(E218)</f>
        <v>30</v>
      </c>
    </row>
    <row r="219" spans="1:7" x14ac:dyDescent="0.35">
      <c r="A219" s="9">
        <f t="shared" si="3"/>
        <v>218</v>
      </c>
      <c r="B219" s="19">
        <v>580168</v>
      </c>
      <c r="C219" s="18">
        <v>45936</v>
      </c>
      <c r="D219" s="15" t="s">
        <v>5</v>
      </c>
      <c r="E219" s="18">
        <v>36098</v>
      </c>
      <c r="F219" s="21">
        <v>57.797859179317832</v>
      </c>
      <c r="G219" s="21" cm="1">
        <f t="array" ref="G219">edadCalc(E219)</f>
        <v>27</v>
      </c>
    </row>
    <row r="220" spans="1:7" x14ac:dyDescent="0.35">
      <c r="A220" s="9">
        <f t="shared" si="3"/>
        <v>219</v>
      </c>
      <c r="B220" s="19">
        <v>2910519.2</v>
      </c>
      <c r="C220" s="18">
        <v>45978</v>
      </c>
      <c r="D220" s="15" t="s">
        <v>6</v>
      </c>
      <c r="E220" s="18">
        <v>32453</v>
      </c>
      <c r="F220" s="21">
        <v>52.066974680425012</v>
      </c>
      <c r="G220" s="21" cm="1">
        <f t="array" ref="G220">edadCalc(E220)</f>
        <v>37</v>
      </c>
    </row>
    <row r="221" spans="1:7" x14ac:dyDescent="0.35">
      <c r="A221" s="9">
        <f t="shared" si="3"/>
        <v>220</v>
      </c>
      <c r="B221" s="19">
        <v>2129424.2000000002</v>
      </c>
      <c r="C221" s="18">
        <v>45978</v>
      </c>
      <c r="D221" s="15" t="s">
        <v>6</v>
      </c>
      <c r="E221" s="18">
        <v>33559</v>
      </c>
      <c r="F221" s="21">
        <v>55.300534903292863</v>
      </c>
      <c r="G221" s="21" cm="1">
        <f t="array" ref="G221">edadCalc(E221)</f>
        <v>34</v>
      </c>
    </row>
    <row r="222" spans="1:7" x14ac:dyDescent="0.35">
      <c r="A222" s="9">
        <f t="shared" si="3"/>
        <v>221</v>
      </c>
      <c r="B222" s="19">
        <v>580020</v>
      </c>
      <c r="C222" s="18">
        <v>45978</v>
      </c>
      <c r="D222" s="15" t="s">
        <v>5</v>
      </c>
      <c r="E222" s="18">
        <v>36226</v>
      </c>
      <c r="F222" s="21">
        <v>58.839653070361329</v>
      </c>
      <c r="G222" s="21" cm="1">
        <f t="array" ref="G222">edadCalc(E222)</f>
        <v>26</v>
      </c>
    </row>
    <row r="223" spans="1:7" x14ac:dyDescent="0.35">
      <c r="A223" s="9">
        <f t="shared" si="3"/>
        <v>222</v>
      </c>
      <c r="B223" s="19">
        <v>1996187.7</v>
      </c>
      <c r="C223" s="18">
        <v>45978</v>
      </c>
      <c r="D223" s="15" t="s">
        <v>6</v>
      </c>
      <c r="E223" s="18">
        <v>30099</v>
      </c>
      <c r="F223" s="21">
        <v>45.641752242691531</v>
      </c>
      <c r="G223" s="21" cm="1">
        <f t="array" ref="G223">edadCalc(E223)</f>
        <v>43</v>
      </c>
    </row>
    <row r="224" spans="1:7" x14ac:dyDescent="0.35">
      <c r="A224" s="9">
        <f t="shared" si="3"/>
        <v>223</v>
      </c>
      <c r="B224" s="19">
        <v>631873.69999999995</v>
      </c>
      <c r="C224" s="18">
        <v>45985</v>
      </c>
      <c r="D224" s="15" t="s">
        <v>6</v>
      </c>
      <c r="E224" s="18">
        <v>29347</v>
      </c>
      <c r="F224" s="21">
        <v>43.516970221614415</v>
      </c>
      <c r="G224" s="21" cm="1">
        <f t="array" ref="G224">edadCalc(E224)</f>
        <v>45</v>
      </c>
    </row>
    <row r="225" spans="1:7" x14ac:dyDescent="0.35">
      <c r="A225" s="9">
        <f t="shared" si="3"/>
        <v>224</v>
      </c>
      <c r="B225" s="19">
        <v>593195.91</v>
      </c>
      <c r="C225" s="18">
        <v>45999</v>
      </c>
      <c r="D225" s="15" t="s">
        <v>6</v>
      </c>
      <c r="E225" s="18">
        <v>27119</v>
      </c>
      <c r="F225" s="21">
        <v>37.224869061812825</v>
      </c>
      <c r="G225" s="21" cm="1">
        <f t="array" ref="G225">edadCalc(E225)</f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</cols>
  <sheetData>
    <row r="2" spans="2:4" ht="30" customHeight="1" x14ac:dyDescent="0.35">
      <c r="B2" s="35" t="s">
        <v>0</v>
      </c>
      <c r="C2" s="37" t="s">
        <v>15</v>
      </c>
      <c r="D2" s="38"/>
    </row>
    <row r="3" spans="2:4" ht="14.5" customHeight="1" x14ac:dyDescent="0.35">
      <c r="B3" s="36"/>
      <c r="C3" s="26" t="s">
        <v>5</v>
      </c>
      <c r="D3" s="26" t="s">
        <v>6</v>
      </c>
    </row>
    <row r="4" spans="2:4" x14ac:dyDescent="0.35">
      <c r="B4" s="21" cm="1">
        <f t="array" ref="B4:B39">_xlfn._xlws.SORT(_xlfn.UNIQUE('Empleados activos'!G2:G225))</f>
        <v>22</v>
      </c>
    </row>
    <row r="5" spans="2:4" x14ac:dyDescent="0.35">
      <c r="B5" s="21">
        <v>23</v>
      </c>
    </row>
    <row r="6" spans="2:4" x14ac:dyDescent="0.35">
      <c r="B6" s="21">
        <v>24</v>
      </c>
    </row>
    <row r="7" spans="2:4" x14ac:dyDescent="0.35">
      <c r="B7" s="21">
        <v>25</v>
      </c>
    </row>
    <row r="8" spans="2:4" x14ac:dyDescent="0.35">
      <c r="B8" s="21">
        <v>26</v>
      </c>
    </row>
    <row r="9" spans="2:4" x14ac:dyDescent="0.35">
      <c r="B9" s="21">
        <v>27</v>
      </c>
    </row>
    <row r="10" spans="2:4" x14ac:dyDescent="0.35">
      <c r="B10" s="21">
        <v>28</v>
      </c>
    </row>
    <row r="11" spans="2:4" x14ac:dyDescent="0.35">
      <c r="B11" s="21">
        <v>29</v>
      </c>
    </row>
    <row r="12" spans="2:4" x14ac:dyDescent="0.35">
      <c r="B12" s="21">
        <v>30</v>
      </c>
    </row>
    <row r="13" spans="2:4" x14ac:dyDescent="0.35">
      <c r="B13" s="21">
        <v>31</v>
      </c>
    </row>
    <row r="14" spans="2:4" x14ac:dyDescent="0.35">
      <c r="B14" s="21">
        <v>32</v>
      </c>
    </row>
    <row r="15" spans="2:4" x14ac:dyDescent="0.35">
      <c r="B15" s="21">
        <v>33</v>
      </c>
    </row>
    <row r="16" spans="2:4" x14ac:dyDescent="0.35">
      <c r="B16" s="21">
        <v>34</v>
      </c>
    </row>
    <row r="17" spans="2:2" x14ac:dyDescent="0.35">
      <c r="B17" s="21">
        <v>35</v>
      </c>
    </row>
    <row r="18" spans="2:2" x14ac:dyDescent="0.35">
      <c r="B18" s="21">
        <v>36</v>
      </c>
    </row>
    <row r="19" spans="2:2" x14ac:dyDescent="0.35">
      <c r="B19" s="21">
        <v>37</v>
      </c>
    </row>
    <row r="20" spans="2:2" x14ac:dyDescent="0.35">
      <c r="B20" s="21">
        <v>38</v>
      </c>
    </row>
    <row r="21" spans="2:2" x14ac:dyDescent="0.35">
      <c r="B21" s="21">
        <v>39</v>
      </c>
    </row>
    <row r="22" spans="2:2" x14ac:dyDescent="0.35">
      <c r="B22" s="21">
        <v>40</v>
      </c>
    </row>
    <row r="23" spans="2:2" x14ac:dyDescent="0.35">
      <c r="B23" s="21">
        <v>41</v>
      </c>
    </row>
    <row r="24" spans="2:2" x14ac:dyDescent="0.35">
      <c r="B24" s="21">
        <v>42</v>
      </c>
    </row>
    <row r="25" spans="2:2" x14ac:dyDescent="0.35">
      <c r="B25" s="21">
        <v>43</v>
      </c>
    </row>
    <row r="26" spans="2:2" x14ac:dyDescent="0.35">
      <c r="B26" s="21">
        <v>44</v>
      </c>
    </row>
    <row r="27" spans="2:2" x14ac:dyDescent="0.35">
      <c r="B27" s="21">
        <v>45</v>
      </c>
    </row>
    <row r="28" spans="2:2" x14ac:dyDescent="0.35">
      <c r="B28" s="21">
        <v>46</v>
      </c>
    </row>
    <row r="29" spans="2:2" x14ac:dyDescent="0.35">
      <c r="B29" s="21">
        <v>47</v>
      </c>
    </row>
    <row r="30" spans="2:2" x14ac:dyDescent="0.35">
      <c r="B30" s="21">
        <v>48</v>
      </c>
    </row>
    <row r="31" spans="2:2" x14ac:dyDescent="0.35">
      <c r="B31" s="21">
        <v>49</v>
      </c>
    </row>
    <row r="32" spans="2:2" x14ac:dyDescent="0.35">
      <c r="B32" s="21">
        <v>50</v>
      </c>
    </row>
    <row r="33" spans="2:2" x14ac:dyDescent="0.35">
      <c r="B33" s="21">
        <v>51</v>
      </c>
    </row>
    <row r="34" spans="2:2" x14ac:dyDescent="0.35">
      <c r="B34" s="21">
        <v>52</v>
      </c>
    </row>
    <row r="35" spans="2:2" x14ac:dyDescent="0.35">
      <c r="B35" s="21">
        <v>54</v>
      </c>
    </row>
    <row r="36" spans="2:2" x14ac:dyDescent="0.35">
      <c r="B36" s="21">
        <v>56</v>
      </c>
    </row>
    <row r="37" spans="2:2" x14ac:dyDescent="0.35">
      <c r="B37" s="21">
        <v>57</v>
      </c>
    </row>
    <row r="38" spans="2:2" x14ac:dyDescent="0.35">
      <c r="B38" s="21">
        <v>58</v>
      </c>
    </row>
    <row r="39" spans="2:2" x14ac:dyDescent="0.35">
      <c r="B39" s="21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A41" workbookViewId="0">
      <selection activeCell="H117" sqref="H117"/>
    </sheetView>
  </sheetViews>
  <sheetFormatPr baseColWidth="10" defaultRowHeight="14.5" x14ac:dyDescent="0.35"/>
  <sheetData>
    <row r="1" spans="1:127" x14ac:dyDescent="0.35">
      <c r="A1" s="1" t="s">
        <v>11</v>
      </c>
      <c r="B1" s="2">
        <v>2025</v>
      </c>
      <c r="C1" s="2">
        <v>2026</v>
      </c>
      <c r="D1" s="2">
        <v>2027</v>
      </c>
      <c r="E1" s="2">
        <v>2028</v>
      </c>
      <c r="F1" s="2">
        <v>2029</v>
      </c>
      <c r="G1" s="2">
        <v>2030</v>
      </c>
      <c r="H1" s="2">
        <v>2031</v>
      </c>
      <c r="I1" s="2">
        <v>2032</v>
      </c>
      <c r="J1" s="2">
        <v>2033</v>
      </c>
      <c r="K1" s="2">
        <v>2034</v>
      </c>
      <c r="L1" s="2">
        <v>2035</v>
      </c>
      <c r="M1" s="2">
        <v>2036</v>
      </c>
      <c r="N1" s="2">
        <v>2037</v>
      </c>
      <c r="O1" s="2">
        <v>2038</v>
      </c>
      <c r="P1" s="2">
        <v>2039</v>
      </c>
      <c r="Q1" s="2">
        <v>2040</v>
      </c>
      <c r="R1" s="2">
        <v>2041</v>
      </c>
      <c r="S1" s="2">
        <v>2042</v>
      </c>
      <c r="T1" s="2">
        <v>2043</v>
      </c>
      <c r="U1" s="2">
        <v>2044</v>
      </c>
      <c r="V1" s="2">
        <v>2045</v>
      </c>
      <c r="W1" s="2">
        <v>2046</v>
      </c>
      <c r="X1" s="2">
        <v>2047</v>
      </c>
      <c r="Y1" s="2">
        <v>2048</v>
      </c>
      <c r="Z1" s="2">
        <v>2049</v>
      </c>
      <c r="AA1" s="2">
        <v>2050</v>
      </c>
      <c r="AB1" s="2">
        <v>2051</v>
      </c>
      <c r="AC1" s="2">
        <v>2052</v>
      </c>
      <c r="AD1" s="2">
        <v>2053</v>
      </c>
      <c r="AE1" s="2">
        <v>2054</v>
      </c>
      <c r="AF1" s="2">
        <v>2055</v>
      </c>
      <c r="AG1" s="2">
        <v>2056</v>
      </c>
      <c r="AH1" s="2">
        <v>2057</v>
      </c>
      <c r="AI1" s="2">
        <v>2058</v>
      </c>
      <c r="AJ1" s="2">
        <v>2059</v>
      </c>
      <c r="AK1" s="2">
        <v>2060</v>
      </c>
      <c r="AL1" s="2">
        <v>2061</v>
      </c>
      <c r="AM1" s="2">
        <v>2062</v>
      </c>
      <c r="AN1" s="2">
        <v>2063</v>
      </c>
      <c r="AO1" s="2">
        <v>2064</v>
      </c>
      <c r="AP1" s="2">
        <v>2065</v>
      </c>
      <c r="AQ1" s="2">
        <v>2066</v>
      </c>
      <c r="AR1" s="2">
        <v>2067</v>
      </c>
      <c r="AS1" s="2">
        <v>2068</v>
      </c>
      <c r="AT1" s="2">
        <v>2069</v>
      </c>
      <c r="AU1" s="2">
        <v>2070</v>
      </c>
      <c r="AV1" s="2">
        <v>2071</v>
      </c>
      <c r="AW1" s="2">
        <v>2072</v>
      </c>
      <c r="AX1" s="2">
        <v>2073</v>
      </c>
      <c r="AY1" s="2">
        <v>2074</v>
      </c>
      <c r="AZ1" s="2">
        <v>2075</v>
      </c>
      <c r="BA1" s="2">
        <v>2076</v>
      </c>
      <c r="BB1" s="2">
        <v>2077</v>
      </c>
      <c r="BC1" s="2">
        <v>2078</v>
      </c>
      <c r="BD1" s="2">
        <v>2079</v>
      </c>
      <c r="BE1" s="2">
        <v>2080</v>
      </c>
      <c r="BF1" s="2">
        <v>2081</v>
      </c>
      <c r="BG1" s="2">
        <v>2082</v>
      </c>
      <c r="BH1" s="2">
        <v>2083</v>
      </c>
      <c r="BI1" s="2">
        <v>2084</v>
      </c>
      <c r="BJ1" s="2">
        <v>2085</v>
      </c>
      <c r="BK1" s="2">
        <v>2086</v>
      </c>
      <c r="BL1" s="2">
        <v>2087</v>
      </c>
      <c r="BM1" s="2">
        <v>2088</v>
      </c>
      <c r="BN1" s="2">
        <v>2089</v>
      </c>
      <c r="BO1" s="2">
        <v>2090</v>
      </c>
      <c r="BP1" s="2">
        <v>2091</v>
      </c>
      <c r="BQ1" s="2">
        <v>2092</v>
      </c>
      <c r="BR1" s="2">
        <v>2093</v>
      </c>
      <c r="BS1" s="2">
        <v>2094</v>
      </c>
      <c r="BT1" s="2">
        <v>2095</v>
      </c>
      <c r="BU1" s="2">
        <v>2096</v>
      </c>
      <c r="BV1" s="2">
        <v>2097</v>
      </c>
      <c r="BW1" s="2">
        <v>2098</v>
      </c>
      <c r="BX1" s="2">
        <v>2099</v>
      </c>
      <c r="BY1" s="2">
        <v>2100</v>
      </c>
      <c r="BZ1" s="2">
        <v>2101</v>
      </c>
      <c r="CA1" s="2">
        <v>2102</v>
      </c>
      <c r="CB1" s="2">
        <v>2103</v>
      </c>
      <c r="CC1" s="2">
        <v>2104</v>
      </c>
      <c r="CD1" s="2">
        <v>2105</v>
      </c>
      <c r="CE1" s="2">
        <v>2106</v>
      </c>
      <c r="CF1" s="2">
        <v>2107</v>
      </c>
      <c r="CG1" s="2">
        <v>2108</v>
      </c>
      <c r="CH1" s="2">
        <v>2109</v>
      </c>
      <c r="CI1" s="2">
        <v>2110</v>
      </c>
      <c r="CJ1" s="2">
        <v>2111</v>
      </c>
      <c r="CK1" s="2">
        <v>2112</v>
      </c>
      <c r="CL1" s="2">
        <v>2113</v>
      </c>
      <c r="CM1" s="2">
        <v>2114</v>
      </c>
      <c r="CN1" s="2">
        <v>2115</v>
      </c>
      <c r="CO1" s="2">
        <v>2116</v>
      </c>
      <c r="CP1" s="2">
        <v>2117</v>
      </c>
      <c r="CQ1" s="2">
        <v>2118</v>
      </c>
      <c r="CR1" s="2">
        <v>2119</v>
      </c>
      <c r="CS1" s="2">
        <v>2120</v>
      </c>
      <c r="CT1" s="2">
        <v>2121</v>
      </c>
      <c r="CU1" s="2">
        <v>2122</v>
      </c>
      <c r="CV1" s="2">
        <v>2123</v>
      </c>
      <c r="CW1" s="2">
        <v>2124</v>
      </c>
      <c r="CX1" s="2">
        <v>2125</v>
      </c>
      <c r="CY1" s="2">
        <v>2126</v>
      </c>
      <c r="CZ1" s="2">
        <v>2127</v>
      </c>
      <c r="DA1" s="2">
        <v>2128</v>
      </c>
      <c r="DB1" s="2">
        <v>2129</v>
      </c>
      <c r="DC1" s="2">
        <v>2130</v>
      </c>
      <c r="DD1" s="2">
        <v>2131</v>
      </c>
      <c r="DE1" s="2">
        <v>2132</v>
      </c>
      <c r="DF1" s="2">
        <v>2133</v>
      </c>
      <c r="DG1" s="2">
        <v>2134</v>
      </c>
      <c r="DH1" s="2">
        <v>2135</v>
      </c>
      <c r="DI1" s="2">
        <v>2136</v>
      </c>
      <c r="DJ1" s="2">
        <v>2137</v>
      </c>
      <c r="DK1" s="2">
        <v>2138</v>
      </c>
      <c r="DL1" s="2">
        <v>2139</v>
      </c>
      <c r="DM1" s="2">
        <v>2140</v>
      </c>
      <c r="DN1" s="2">
        <v>2141</v>
      </c>
      <c r="DO1" s="2">
        <v>2142</v>
      </c>
      <c r="DP1" s="2">
        <v>2143</v>
      </c>
      <c r="DQ1" s="2">
        <v>2144</v>
      </c>
      <c r="DR1" s="2">
        <v>2145</v>
      </c>
      <c r="DS1" s="2">
        <v>2146</v>
      </c>
      <c r="DT1" s="2">
        <v>2147</v>
      </c>
      <c r="DU1" s="2">
        <v>2148</v>
      </c>
      <c r="DV1" s="2">
        <v>2149</v>
      </c>
      <c r="DW1" s="2">
        <v>2150</v>
      </c>
    </row>
    <row r="2" spans="1:127" x14ac:dyDescent="0.35">
      <c r="A2" s="2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2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2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2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2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2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2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2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2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2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2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2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2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2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2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2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2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2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2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2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2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2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2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2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2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2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2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2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2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2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2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2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2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2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2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2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2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2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2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2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2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2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2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2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2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2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2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2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2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2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2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2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2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2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2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2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2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2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2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2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2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2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2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2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2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2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2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2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2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2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2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2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2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2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2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2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2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2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2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2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2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2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2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2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2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2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2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2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2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2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2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2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2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2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2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2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2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2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2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2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2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2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2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2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2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2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2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2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2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2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2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2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2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2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2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21" cm="1">
        <f t="array" ref="F118">edadCalc(C118)</f>
        <v>126</v>
      </c>
      <c r="G118" s="21" cm="1">
        <f t="array" ref="G118">edadCalc(E118)</f>
        <v>126</v>
      </c>
    </row>
    <row r="119" spans="1:127" x14ac:dyDescent="0.35">
      <c r="F119" s="21" cm="1">
        <f t="array" ref="F119">edadCalc(C119)</f>
        <v>126</v>
      </c>
      <c r="G119" s="21" cm="1">
        <f t="array" ref="G119">edadCalc(E119)</f>
        <v>126</v>
      </c>
    </row>
    <row r="120" spans="1:127" x14ac:dyDescent="0.35">
      <c r="F120" s="21" cm="1">
        <f t="array" ref="F120">edadCalc(C120)</f>
        <v>126</v>
      </c>
      <c r="G120" s="21" cm="1">
        <f t="array" ref="G120">edadCalc(E120)</f>
        <v>126</v>
      </c>
    </row>
    <row r="121" spans="1:127" x14ac:dyDescent="0.35">
      <c r="F121" s="21" cm="1">
        <f t="array" ref="F121">edadCalc(C121)</f>
        <v>126</v>
      </c>
      <c r="G121" s="21" cm="1">
        <f t="array" ref="G121">edadCalc(E121)</f>
        <v>126</v>
      </c>
    </row>
    <row r="122" spans="1:127" x14ac:dyDescent="0.35">
      <c r="F122" s="21" cm="1">
        <f t="array" ref="F122">edadCalc(C122)</f>
        <v>126</v>
      </c>
      <c r="G122" s="21" cm="1">
        <f t="array" ref="G122">edadCalc(E122)</f>
        <v>126</v>
      </c>
    </row>
    <row r="123" spans="1:127" x14ac:dyDescent="0.35">
      <c r="F123" s="21" cm="1">
        <f t="array" ref="F123">edadCalc(C123)</f>
        <v>126</v>
      </c>
      <c r="G123" s="21" cm="1">
        <f t="array" ref="G123">edadCalc(E123)</f>
        <v>126</v>
      </c>
    </row>
    <row r="124" spans="1:127" x14ac:dyDescent="0.35">
      <c r="F124" s="21" cm="1">
        <f t="array" ref="F124">edadCalc(C124)</f>
        <v>126</v>
      </c>
      <c r="G124" s="21" cm="1">
        <f t="array" ref="G124">edadCalc(E124)</f>
        <v>126</v>
      </c>
    </row>
    <row r="125" spans="1:127" x14ac:dyDescent="0.35">
      <c r="F125" s="21" cm="1">
        <f t="array" ref="F125">edadCalc(C125)</f>
        <v>126</v>
      </c>
      <c r="G125" s="21" cm="1">
        <f t="array" ref="G125">edadCalc(E125)</f>
        <v>126</v>
      </c>
    </row>
    <row r="126" spans="1:127" x14ac:dyDescent="0.35">
      <c r="F126" s="21" cm="1">
        <f t="array" ref="F126">edadCalc(C126)</f>
        <v>126</v>
      </c>
      <c r="G126" s="21" cm="1">
        <f t="array" ref="G126">edadCalc(E126)</f>
        <v>126</v>
      </c>
    </row>
    <row r="127" spans="1:127" x14ac:dyDescent="0.35">
      <c r="F127" s="21" cm="1">
        <f t="array" ref="F127">edadCalc(C127)</f>
        <v>126</v>
      </c>
      <c r="G127" s="21" cm="1">
        <f t="array" ref="G127">edadCalc(E127)</f>
        <v>126</v>
      </c>
    </row>
    <row r="128" spans="1:127" x14ac:dyDescent="0.35">
      <c r="F128" s="21" cm="1">
        <f t="array" ref="F128">edadCalc(C128)</f>
        <v>126</v>
      </c>
      <c r="G128" s="21" cm="1">
        <f t="array" ref="G128">edadCalc(E128)</f>
        <v>126</v>
      </c>
    </row>
    <row r="129" spans="6:7" x14ac:dyDescent="0.35">
      <c r="F129" s="21" cm="1">
        <f t="array" ref="F129">edadCalc(C129)</f>
        <v>126</v>
      </c>
      <c r="G129" s="21" cm="1">
        <f t="array" ref="G129">edadCalc(E129)</f>
        <v>126</v>
      </c>
    </row>
    <row r="130" spans="6:7" x14ac:dyDescent="0.35">
      <c r="F130" s="21" cm="1">
        <f t="array" ref="F130">edadCalc(C130)</f>
        <v>126</v>
      </c>
      <c r="G130" s="21" cm="1">
        <f t="array" ref="G130">edadCalc(E130)</f>
        <v>126</v>
      </c>
    </row>
    <row r="131" spans="6:7" x14ac:dyDescent="0.35">
      <c r="F131" s="21" cm="1">
        <f t="array" ref="F131">edadCalc(C131)</f>
        <v>126</v>
      </c>
      <c r="G131" s="21" cm="1">
        <f t="array" ref="G131">edadCalc(E131)</f>
        <v>126</v>
      </c>
    </row>
    <row r="132" spans="6:7" x14ac:dyDescent="0.35">
      <c r="F132" s="21" cm="1">
        <f t="array" ref="F132">edadCalc(C132)</f>
        <v>126</v>
      </c>
      <c r="G132" s="21" cm="1">
        <f t="array" ref="G132">edadCalc(E132)</f>
        <v>126</v>
      </c>
    </row>
    <row r="133" spans="6:7" x14ac:dyDescent="0.35">
      <c r="F133" s="21" cm="1">
        <f t="array" ref="F133">edadCalc(C133)</f>
        <v>126</v>
      </c>
      <c r="G133" s="21" cm="1">
        <f t="array" ref="G133">edadCalc(E133)</f>
        <v>126</v>
      </c>
    </row>
    <row r="134" spans="6:7" x14ac:dyDescent="0.35">
      <c r="F134" s="21" cm="1">
        <f t="array" ref="F134">edadCalc(C134)</f>
        <v>126</v>
      </c>
      <c r="G134" s="21" cm="1">
        <f t="array" ref="G134">edadCalc(E134)</f>
        <v>126</v>
      </c>
    </row>
    <row r="135" spans="6:7" x14ac:dyDescent="0.35">
      <c r="F135" s="21" cm="1">
        <f t="array" ref="F135">edadCalc(C135)</f>
        <v>126</v>
      </c>
      <c r="G135" s="21" cm="1">
        <f t="array" ref="G135">edadCalc(E135)</f>
        <v>126</v>
      </c>
    </row>
    <row r="136" spans="6:7" x14ac:dyDescent="0.35">
      <c r="F136" s="21" cm="1">
        <f t="array" ref="F136">edadCalc(C136)</f>
        <v>126</v>
      </c>
      <c r="G136" s="21" cm="1">
        <f t="array" ref="G136">edadCalc(E136)</f>
        <v>126</v>
      </c>
    </row>
    <row r="137" spans="6:7" x14ac:dyDescent="0.35">
      <c r="F137" s="21" cm="1">
        <f t="array" ref="F137">edadCalc(C137)</f>
        <v>126</v>
      </c>
      <c r="G137" s="21" cm="1">
        <f t="array" ref="G137">edadCalc(E137)</f>
        <v>126</v>
      </c>
    </row>
    <row r="138" spans="6:7" x14ac:dyDescent="0.35">
      <c r="F138" s="21" cm="1">
        <f t="array" ref="F138">edadCalc(C138)</f>
        <v>126</v>
      </c>
      <c r="G138" s="21" cm="1">
        <f t="array" ref="G138">edadCalc(E138)</f>
        <v>126</v>
      </c>
    </row>
    <row r="139" spans="6:7" x14ac:dyDescent="0.35">
      <c r="F139" s="21" cm="1">
        <f t="array" ref="F139">edadCalc(C139)</f>
        <v>126</v>
      </c>
      <c r="G139" s="21" cm="1">
        <f t="array" ref="G139">edadCalc(E139)</f>
        <v>126</v>
      </c>
    </row>
    <row r="140" spans="6:7" x14ac:dyDescent="0.35">
      <c r="F140" s="21" cm="1">
        <f t="array" ref="F140">edadCalc(C140)</f>
        <v>126</v>
      </c>
      <c r="G140" s="21" cm="1">
        <f t="array" ref="G140">edadCalc(E140)</f>
        <v>126</v>
      </c>
    </row>
    <row r="141" spans="6:7" x14ac:dyDescent="0.35">
      <c r="F141" s="21" cm="1">
        <f t="array" ref="F141">edadCalc(C141)</f>
        <v>126</v>
      </c>
      <c r="G141" s="21" cm="1">
        <f t="array" ref="G141">edadCalc(E141)</f>
        <v>126</v>
      </c>
    </row>
    <row r="142" spans="6:7" x14ac:dyDescent="0.35">
      <c r="F142" s="21" cm="1">
        <f t="array" ref="F142">edadCalc(C142)</f>
        <v>126</v>
      </c>
      <c r="G142" s="21" cm="1">
        <f t="array" ref="G142">edadCalc(E142)</f>
        <v>126</v>
      </c>
    </row>
    <row r="143" spans="6:7" x14ac:dyDescent="0.35">
      <c r="F143" s="21" cm="1">
        <f t="array" ref="F143">edadCalc(C143)</f>
        <v>126</v>
      </c>
      <c r="G143" s="21" cm="1">
        <f t="array" ref="G143">edadCalc(E143)</f>
        <v>126</v>
      </c>
    </row>
    <row r="144" spans="6:7" x14ac:dyDescent="0.35">
      <c r="F144" s="21" cm="1">
        <f t="array" ref="F144">edadCalc(C144)</f>
        <v>126</v>
      </c>
      <c r="G144" s="21" cm="1">
        <f t="array" ref="G144">edadCalc(E144)</f>
        <v>126</v>
      </c>
    </row>
    <row r="145" spans="6:7" x14ac:dyDescent="0.35">
      <c r="F145" s="21" cm="1">
        <f t="array" ref="F145">edadCalc(C145)</f>
        <v>126</v>
      </c>
      <c r="G145" s="21" cm="1">
        <f t="array" ref="G145">edadCalc(E145)</f>
        <v>126</v>
      </c>
    </row>
    <row r="146" spans="6:7" x14ac:dyDescent="0.35">
      <c r="F146" s="21" cm="1">
        <f t="array" ref="F146">edadCalc(C146)</f>
        <v>126</v>
      </c>
      <c r="G146" s="21" cm="1">
        <f t="array" ref="G146">edadCalc(E146)</f>
        <v>126</v>
      </c>
    </row>
    <row r="147" spans="6:7" x14ac:dyDescent="0.35">
      <c r="F147" s="21" cm="1">
        <f t="array" ref="F147">edadCalc(C147)</f>
        <v>126</v>
      </c>
      <c r="G147" s="21" cm="1">
        <f t="array" ref="G147">edadCalc(E147)</f>
        <v>126</v>
      </c>
    </row>
    <row r="148" spans="6:7" x14ac:dyDescent="0.35">
      <c r="F148" s="21" cm="1">
        <f t="array" ref="F148">edadCalc(C148)</f>
        <v>126</v>
      </c>
      <c r="G148" s="21" cm="1">
        <f t="array" ref="G148">edadCalc(E148)</f>
        <v>126</v>
      </c>
    </row>
    <row r="149" spans="6:7" x14ac:dyDescent="0.35">
      <c r="F149" s="21" cm="1">
        <f t="array" ref="F149">edadCalc(C149)</f>
        <v>126</v>
      </c>
      <c r="G149" s="21" cm="1">
        <f t="array" ref="G149">edadCalc(E149)</f>
        <v>126</v>
      </c>
    </row>
    <row r="150" spans="6:7" x14ac:dyDescent="0.35">
      <c r="F150" s="21" cm="1">
        <f t="array" ref="F150">edadCalc(C150)</f>
        <v>126</v>
      </c>
      <c r="G150" s="21" cm="1">
        <f t="array" ref="G150">edadCalc(E150)</f>
        <v>126</v>
      </c>
    </row>
    <row r="151" spans="6:7" x14ac:dyDescent="0.35">
      <c r="F151" s="21" cm="1">
        <f t="array" ref="F151">edadCalc(C151)</f>
        <v>126</v>
      </c>
      <c r="G151" s="21" cm="1">
        <f t="array" ref="G151">edadCalc(E151)</f>
        <v>126</v>
      </c>
    </row>
    <row r="152" spans="6:7" x14ac:dyDescent="0.35">
      <c r="F152" s="21" cm="1">
        <f t="array" ref="F152">edadCalc(C152)</f>
        <v>126</v>
      </c>
      <c r="G152" s="21" cm="1">
        <f t="array" ref="G152">edadCalc(E152)</f>
        <v>126</v>
      </c>
    </row>
    <row r="153" spans="6:7" x14ac:dyDescent="0.35">
      <c r="F153" s="21" cm="1">
        <f t="array" ref="F153">edadCalc(C153)</f>
        <v>126</v>
      </c>
      <c r="G153" s="21" cm="1">
        <f t="array" ref="G153">edadCalc(E153)</f>
        <v>126</v>
      </c>
    </row>
    <row r="154" spans="6:7" x14ac:dyDescent="0.35">
      <c r="F154" s="21" cm="1">
        <f t="array" ref="F154">edadCalc(C154)</f>
        <v>126</v>
      </c>
      <c r="G154" s="21" cm="1">
        <f t="array" ref="G154">edadCalc(E154)</f>
        <v>126</v>
      </c>
    </row>
    <row r="155" spans="6:7" x14ac:dyDescent="0.35">
      <c r="F155" s="21" cm="1">
        <f t="array" ref="F155">edadCalc(C155)</f>
        <v>126</v>
      </c>
      <c r="G155" s="21" cm="1">
        <f t="array" ref="G155">edadCalc(E155)</f>
        <v>126</v>
      </c>
    </row>
    <row r="156" spans="6:7" x14ac:dyDescent="0.35">
      <c r="F156" s="21" cm="1">
        <f t="array" ref="F156">edadCalc(C156)</f>
        <v>126</v>
      </c>
      <c r="G156" s="21" cm="1">
        <f t="array" ref="G156">edadCalc(E156)</f>
        <v>126</v>
      </c>
    </row>
    <row r="157" spans="6:7" x14ac:dyDescent="0.35">
      <c r="F157" s="21" cm="1">
        <f t="array" ref="F157">edadCalc(C157)</f>
        <v>126</v>
      </c>
      <c r="G157" s="21" cm="1">
        <f t="array" ref="G157">edadCalc(E157)</f>
        <v>126</v>
      </c>
    </row>
    <row r="158" spans="6:7" x14ac:dyDescent="0.35">
      <c r="F158" s="21" cm="1">
        <f t="array" ref="F158">edadCalc(C158)</f>
        <v>126</v>
      </c>
      <c r="G158" s="21" cm="1">
        <f t="array" ref="G158">edadCalc(E158)</f>
        <v>126</v>
      </c>
    </row>
    <row r="159" spans="6:7" x14ac:dyDescent="0.35">
      <c r="F159" s="21" cm="1">
        <f t="array" ref="F159">edadCalc(C159)</f>
        <v>126</v>
      </c>
      <c r="G159" s="21" cm="1">
        <f t="array" ref="G159">edadCalc(E159)</f>
        <v>126</v>
      </c>
    </row>
    <row r="160" spans="6:7" x14ac:dyDescent="0.35">
      <c r="F160" s="21" cm="1">
        <f t="array" ref="F160">edadCalc(C160)</f>
        <v>126</v>
      </c>
      <c r="G160" s="21" cm="1">
        <f t="array" ref="G160">edadCalc(E160)</f>
        <v>126</v>
      </c>
    </row>
    <row r="161" spans="6:7" x14ac:dyDescent="0.35">
      <c r="F161" s="21" cm="1">
        <f t="array" ref="F161">edadCalc(C161)</f>
        <v>126</v>
      </c>
      <c r="G161" s="21" cm="1">
        <f t="array" ref="G161">edadCalc(E161)</f>
        <v>126</v>
      </c>
    </row>
    <row r="162" spans="6:7" x14ac:dyDescent="0.35">
      <c r="F162" s="21" cm="1">
        <f t="array" ref="F162">edadCalc(C162)</f>
        <v>126</v>
      </c>
      <c r="G162" s="21" cm="1">
        <f t="array" ref="G162">edadCalc(E162)</f>
        <v>126</v>
      </c>
    </row>
    <row r="163" spans="6:7" x14ac:dyDescent="0.35">
      <c r="F163" s="21" cm="1">
        <f t="array" ref="F163">edadCalc(C163)</f>
        <v>126</v>
      </c>
      <c r="G163" s="21" cm="1">
        <f t="array" ref="G163">edadCalc(E163)</f>
        <v>126</v>
      </c>
    </row>
    <row r="164" spans="6:7" x14ac:dyDescent="0.35">
      <c r="F164" s="21" cm="1">
        <f t="array" ref="F164">edadCalc(C164)</f>
        <v>126</v>
      </c>
      <c r="G164" s="21" cm="1">
        <f t="array" ref="G164">edadCalc(E164)</f>
        <v>126</v>
      </c>
    </row>
    <row r="165" spans="6:7" x14ac:dyDescent="0.35">
      <c r="F165" s="21" cm="1">
        <f t="array" ref="F165">edadCalc(C165)</f>
        <v>126</v>
      </c>
      <c r="G165" s="21" cm="1">
        <f t="array" ref="G165">edadCalc(E165)</f>
        <v>126</v>
      </c>
    </row>
    <row r="166" spans="6:7" x14ac:dyDescent="0.35">
      <c r="F166" s="21" cm="1">
        <f t="array" ref="F166">edadCalc(C166)</f>
        <v>126</v>
      </c>
      <c r="G166" s="21" cm="1">
        <f t="array" ref="G166">edadCalc(E166)</f>
        <v>126</v>
      </c>
    </row>
    <row r="167" spans="6:7" x14ac:dyDescent="0.35">
      <c r="G167" s="21" cm="1">
        <f t="array" ref="G167">edadCalc(E167)</f>
        <v>126</v>
      </c>
    </row>
    <row r="168" spans="6:7" x14ac:dyDescent="0.35">
      <c r="G168" s="21" cm="1">
        <f t="array" ref="G168">edadCalc(E168)</f>
        <v>126</v>
      </c>
    </row>
    <row r="169" spans="6:7" x14ac:dyDescent="0.35">
      <c r="G169" s="21" cm="1">
        <f t="array" ref="G169">edadCalc(E169)</f>
        <v>126</v>
      </c>
    </row>
    <row r="170" spans="6:7" x14ac:dyDescent="0.35">
      <c r="G170" s="21" cm="1">
        <f t="array" ref="G170">edadCalc(E170)</f>
        <v>126</v>
      </c>
    </row>
    <row r="171" spans="6:7" x14ac:dyDescent="0.35">
      <c r="G171" s="21" cm="1">
        <f t="array" ref="G171">edadCalc(E171)</f>
        <v>126</v>
      </c>
    </row>
    <row r="172" spans="6:7" x14ac:dyDescent="0.35">
      <c r="G172" s="21" cm="1">
        <f t="array" ref="G172">edadCalc(E172)</f>
        <v>126</v>
      </c>
    </row>
    <row r="173" spans="6:7" x14ac:dyDescent="0.35">
      <c r="G173" s="21" cm="1">
        <f t="array" ref="G173">edadCalc(E173)</f>
        <v>126</v>
      </c>
    </row>
    <row r="174" spans="6:7" x14ac:dyDescent="0.35">
      <c r="G174" s="21" cm="1">
        <f t="array" ref="G174">edadCalc(E174)</f>
        <v>126</v>
      </c>
    </row>
    <row r="175" spans="6:7" x14ac:dyDescent="0.35">
      <c r="G175" s="21" cm="1">
        <f t="array" ref="G175">edadCalc(E175)</f>
        <v>126</v>
      </c>
    </row>
    <row r="176" spans="6:7" x14ac:dyDescent="0.35">
      <c r="G176" s="21" cm="1">
        <f t="array" ref="G176">edadCalc(E176)</f>
        <v>126</v>
      </c>
    </row>
    <row r="177" spans="7:7" x14ac:dyDescent="0.35">
      <c r="G177" s="21" cm="1">
        <f t="array" ref="G177">edadCalc(E177)</f>
        <v>126</v>
      </c>
    </row>
    <row r="178" spans="7:7" x14ac:dyDescent="0.35">
      <c r="G178" s="21" cm="1">
        <f t="array" ref="G178">edadCalc(E178)</f>
        <v>126</v>
      </c>
    </row>
    <row r="179" spans="7:7" x14ac:dyDescent="0.35">
      <c r="G179" s="21" cm="1">
        <f t="array" ref="G179">edadCalc(E179)</f>
        <v>126</v>
      </c>
    </row>
    <row r="180" spans="7:7" x14ac:dyDescent="0.35">
      <c r="G180" s="21" cm="1">
        <f t="array" ref="G180">edadCalc(E180)</f>
        <v>126</v>
      </c>
    </row>
    <row r="181" spans="7:7" x14ac:dyDescent="0.35">
      <c r="G181" s="21" cm="1">
        <f t="array" ref="G181">edadCalc(E181)</f>
        <v>126</v>
      </c>
    </row>
    <row r="182" spans="7:7" x14ac:dyDescent="0.35">
      <c r="G182" s="21" cm="1">
        <f t="array" ref="G182">edadCalc(E182)</f>
        <v>126</v>
      </c>
    </row>
    <row r="183" spans="7:7" x14ac:dyDescent="0.35">
      <c r="G183" s="21" cm="1">
        <f t="array" ref="G183">edadCalc(E183)</f>
        <v>126</v>
      </c>
    </row>
    <row r="184" spans="7:7" x14ac:dyDescent="0.35">
      <c r="G184" s="21" cm="1">
        <f t="array" ref="G184">edadCalc(E184)</f>
        <v>126</v>
      </c>
    </row>
    <row r="185" spans="7:7" x14ac:dyDescent="0.35">
      <c r="G185" s="21" cm="1">
        <f t="array" ref="G185">edadCalc(E185)</f>
        <v>126</v>
      </c>
    </row>
    <row r="186" spans="7:7" x14ac:dyDescent="0.35">
      <c r="G186" s="21" cm="1">
        <f t="array" ref="G186">edadCalc(E186)</f>
        <v>126</v>
      </c>
    </row>
    <row r="187" spans="7:7" x14ac:dyDescent="0.35">
      <c r="G187" s="21" cm="1">
        <f t="array" ref="G187">edadCalc(E187)</f>
        <v>126</v>
      </c>
    </row>
    <row r="188" spans="7:7" x14ac:dyDescent="0.35">
      <c r="G188" s="21" cm="1">
        <f t="array" ref="G188">edadCalc(E188)</f>
        <v>126</v>
      </c>
    </row>
    <row r="189" spans="7:7" x14ac:dyDescent="0.35">
      <c r="G189" s="21" cm="1">
        <f t="array" ref="G189">edadCalc(E189)</f>
        <v>126</v>
      </c>
    </row>
    <row r="190" spans="7:7" x14ac:dyDescent="0.35">
      <c r="G190" s="21" cm="1">
        <f t="array" ref="G190">edadCalc(E190)</f>
        <v>126</v>
      </c>
    </row>
    <row r="191" spans="7:7" x14ac:dyDescent="0.35">
      <c r="G191" s="21" cm="1">
        <f t="array" ref="G191">edadCalc(E191)</f>
        <v>126</v>
      </c>
    </row>
    <row r="192" spans="7:7" x14ac:dyDescent="0.35">
      <c r="G192" s="21" cm="1">
        <f t="array" ref="G192">edadCalc(E192)</f>
        <v>126</v>
      </c>
    </row>
    <row r="193" spans="7:7" x14ac:dyDescent="0.35">
      <c r="G193" s="21" cm="1">
        <f t="array" ref="G193">edadCalc(E193)</f>
        <v>126</v>
      </c>
    </row>
    <row r="194" spans="7:7" x14ac:dyDescent="0.35">
      <c r="G194" s="21" cm="1">
        <f t="array" ref="G194">edadCalc(E194)</f>
        <v>126</v>
      </c>
    </row>
    <row r="195" spans="7:7" x14ac:dyDescent="0.35">
      <c r="G195" s="21" cm="1">
        <f t="array" ref="G195">edadCalc(E195)</f>
        <v>126</v>
      </c>
    </row>
    <row r="196" spans="7:7" x14ac:dyDescent="0.35">
      <c r="G196" s="21" cm="1">
        <f t="array" ref="G196">edadCalc(E196)</f>
        <v>126</v>
      </c>
    </row>
    <row r="197" spans="7:7" x14ac:dyDescent="0.35">
      <c r="G197" s="21" cm="1">
        <f t="array" ref="G197">edadCalc(E197)</f>
        <v>126</v>
      </c>
    </row>
    <row r="198" spans="7:7" x14ac:dyDescent="0.35">
      <c r="G198" s="21" cm="1">
        <f t="array" ref="G198">edadCalc(E198)</f>
        <v>126</v>
      </c>
    </row>
    <row r="199" spans="7:7" x14ac:dyDescent="0.35">
      <c r="G199" s="21" cm="1">
        <f t="array" ref="G199">edadCalc(E199)</f>
        <v>126</v>
      </c>
    </row>
    <row r="200" spans="7:7" x14ac:dyDescent="0.35">
      <c r="G200" s="21" cm="1">
        <f t="array" ref="G200">edadCalc(E200)</f>
        <v>126</v>
      </c>
    </row>
    <row r="201" spans="7:7" x14ac:dyDescent="0.35">
      <c r="G201" s="21" cm="1">
        <f t="array" ref="G201">edadCalc(E201)</f>
        <v>126</v>
      </c>
    </row>
    <row r="202" spans="7:7" x14ac:dyDescent="0.35">
      <c r="G202" s="21" cm="1">
        <f t="array" ref="G202">edadCalc(E202)</f>
        <v>126</v>
      </c>
    </row>
    <row r="203" spans="7:7" x14ac:dyDescent="0.35">
      <c r="G203" s="21" cm="1">
        <f t="array" ref="G203">edadCalc(E203)</f>
        <v>126</v>
      </c>
    </row>
    <row r="204" spans="7:7" x14ac:dyDescent="0.35">
      <c r="G204" s="21" cm="1">
        <f t="array" ref="G204">edadCalc(E204)</f>
        <v>126</v>
      </c>
    </row>
    <row r="205" spans="7:7" x14ac:dyDescent="0.35">
      <c r="G205" s="21" cm="1">
        <f t="array" ref="G205">edadCalc(E205)</f>
        <v>126</v>
      </c>
    </row>
    <row r="206" spans="7:7" x14ac:dyDescent="0.35">
      <c r="G206" s="21" cm="1">
        <f t="array" ref="G206">edadCalc(E206)</f>
        <v>126</v>
      </c>
    </row>
    <row r="207" spans="7:7" x14ac:dyDescent="0.35">
      <c r="G207" s="21" cm="1">
        <f t="array" ref="G207">edadCalc(E207)</f>
        <v>126</v>
      </c>
    </row>
    <row r="208" spans="7:7" x14ac:dyDescent="0.35">
      <c r="G208" s="21" cm="1">
        <f t="array" ref="G208">edadCalc(E208)</f>
        <v>126</v>
      </c>
    </row>
    <row r="209" spans="7:7" x14ac:dyDescent="0.35">
      <c r="G209" s="21" cm="1">
        <f t="array" ref="G209">edadCalc(E209)</f>
        <v>126</v>
      </c>
    </row>
    <row r="210" spans="7:7" x14ac:dyDescent="0.35">
      <c r="G210" s="21" cm="1">
        <f t="array" ref="G210">edadCalc(E210)</f>
        <v>126</v>
      </c>
    </row>
    <row r="211" spans="7:7" x14ac:dyDescent="0.35">
      <c r="G211" s="21" cm="1">
        <f t="array" ref="G211">edadCalc(E211)</f>
        <v>126</v>
      </c>
    </row>
    <row r="212" spans="7:7" x14ac:dyDescent="0.35">
      <c r="G212" s="21" cm="1">
        <f t="array" ref="G212">edadCalc(E212)</f>
        <v>126</v>
      </c>
    </row>
    <row r="213" spans="7:7" x14ac:dyDescent="0.35">
      <c r="G213" s="21" cm="1">
        <f t="array" ref="G213">edadCalc(E213)</f>
        <v>126</v>
      </c>
    </row>
    <row r="214" spans="7:7" x14ac:dyDescent="0.35">
      <c r="G214" s="21" cm="1">
        <f t="array" ref="G214">edadCalc(E214)</f>
        <v>126</v>
      </c>
    </row>
    <row r="215" spans="7:7" x14ac:dyDescent="0.35">
      <c r="G215" s="21" cm="1">
        <f t="array" ref="G215">edadCalc(E215)</f>
        <v>126</v>
      </c>
    </row>
    <row r="216" spans="7:7" x14ac:dyDescent="0.35">
      <c r="G216" s="21" cm="1">
        <f t="array" ref="G216">edadCalc(E216)</f>
        <v>126</v>
      </c>
    </row>
    <row r="217" spans="7:7" x14ac:dyDescent="0.35">
      <c r="G217" s="21" cm="1">
        <f t="array" ref="G217">edadCalc(E217)</f>
        <v>126</v>
      </c>
    </row>
    <row r="218" spans="7:7" x14ac:dyDescent="0.35">
      <c r="G218" s="21" cm="1">
        <f t="array" ref="G218">edadCalc(E218)</f>
        <v>126</v>
      </c>
    </row>
    <row r="219" spans="7:7" x14ac:dyDescent="0.35">
      <c r="G219" s="21" cm="1">
        <f t="array" ref="G219">edadCalc(E219)</f>
        <v>126</v>
      </c>
    </row>
    <row r="220" spans="7:7" x14ac:dyDescent="0.35">
      <c r="G220" s="21" cm="1">
        <f t="array" ref="G220">edadCalc(E220)</f>
        <v>126</v>
      </c>
    </row>
    <row r="221" spans="7:7" x14ac:dyDescent="0.35">
      <c r="G221" s="21" cm="1">
        <f t="array" ref="G221">edadCalc(E221)</f>
        <v>126</v>
      </c>
    </row>
    <row r="222" spans="7:7" x14ac:dyDescent="0.35">
      <c r="G222" s="21" cm="1">
        <f t="array" ref="G222">edadCalc(E222)</f>
        <v>126</v>
      </c>
    </row>
    <row r="223" spans="7:7" x14ac:dyDescent="0.35">
      <c r="G223" s="21" cm="1">
        <f t="array" ref="G223">edadCalc(E223)</f>
        <v>126</v>
      </c>
    </row>
    <row r="224" spans="7:7" x14ac:dyDescent="0.35">
      <c r="G224" s="21" cm="1">
        <f t="array" ref="G224">edadCalc(E224)</f>
        <v>126</v>
      </c>
    </row>
    <row r="225" spans="7:7" x14ac:dyDescent="0.35">
      <c r="G225" s="21" cm="1">
        <f t="array" ref="G225">edadCalc(E225)</f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CS1" zoomScale="77" workbookViewId="0">
      <selection activeCell="L117" sqref="L117"/>
    </sheetView>
  </sheetViews>
  <sheetFormatPr baseColWidth="10" defaultRowHeight="14.5" x14ac:dyDescent="0.35"/>
  <sheetData>
    <row r="1" spans="1:127" x14ac:dyDescent="0.35">
      <c r="A1" s="4" t="s">
        <v>11</v>
      </c>
      <c r="B1" s="3">
        <v>2025</v>
      </c>
      <c r="C1" s="3">
        <v>2026</v>
      </c>
      <c r="D1" s="3">
        <v>2027</v>
      </c>
      <c r="E1" s="3">
        <v>2028</v>
      </c>
      <c r="F1" s="3">
        <v>2029</v>
      </c>
      <c r="G1" s="3">
        <v>2030</v>
      </c>
      <c r="H1" s="3">
        <v>2031</v>
      </c>
      <c r="I1" s="3">
        <v>2032</v>
      </c>
      <c r="J1" s="3">
        <v>2033</v>
      </c>
      <c r="K1" s="3">
        <v>2034</v>
      </c>
      <c r="L1" s="3">
        <v>2035</v>
      </c>
      <c r="M1" s="3">
        <v>2036</v>
      </c>
      <c r="N1" s="3">
        <v>2037</v>
      </c>
      <c r="O1" s="3">
        <v>2038</v>
      </c>
      <c r="P1" s="3">
        <v>2039</v>
      </c>
      <c r="Q1" s="3">
        <v>2040</v>
      </c>
      <c r="R1" s="3">
        <v>2041</v>
      </c>
      <c r="S1" s="3">
        <v>2042</v>
      </c>
      <c r="T1" s="3">
        <v>2043</v>
      </c>
      <c r="U1" s="3">
        <v>2044</v>
      </c>
      <c r="V1" s="3">
        <v>2045</v>
      </c>
      <c r="W1" s="3">
        <v>2046</v>
      </c>
      <c r="X1" s="3">
        <v>2047</v>
      </c>
      <c r="Y1" s="3">
        <v>2048</v>
      </c>
      <c r="Z1" s="3">
        <v>2049</v>
      </c>
      <c r="AA1" s="3">
        <v>2050</v>
      </c>
      <c r="AB1" s="3">
        <v>2051</v>
      </c>
      <c r="AC1" s="3">
        <v>2052</v>
      </c>
      <c r="AD1" s="3">
        <v>2053</v>
      </c>
      <c r="AE1" s="3">
        <v>2054</v>
      </c>
      <c r="AF1" s="3">
        <v>2055</v>
      </c>
      <c r="AG1" s="3">
        <v>2056</v>
      </c>
      <c r="AH1" s="3">
        <v>2057</v>
      </c>
      <c r="AI1" s="3">
        <v>2058</v>
      </c>
      <c r="AJ1" s="3">
        <v>2059</v>
      </c>
      <c r="AK1" s="3">
        <v>2060</v>
      </c>
      <c r="AL1" s="3">
        <v>2061</v>
      </c>
      <c r="AM1" s="3">
        <v>2062</v>
      </c>
      <c r="AN1" s="3">
        <v>2063</v>
      </c>
      <c r="AO1" s="3">
        <v>2064</v>
      </c>
      <c r="AP1" s="3">
        <v>2065</v>
      </c>
      <c r="AQ1" s="3">
        <v>2066</v>
      </c>
      <c r="AR1" s="3">
        <v>2067</v>
      </c>
      <c r="AS1" s="3">
        <v>2068</v>
      </c>
      <c r="AT1" s="3">
        <v>2069</v>
      </c>
      <c r="AU1" s="3">
        <v>2070</v>
      </c>
      <c r="AV1" s="3">
        <v>2071</v>
      </c>
      <c r="AW1" s="3">
        <v>2072</v>
      </c>
      <c r="AX1" s="3">
        <v>2073</v>
      </c>
      <c r="AY1" s="3">
        <v>2074</v>
      </c>
      <c r="AZ1" s="3">
        <v>2075</v>
      </c>
      <c r="BA1" s="3">
        <v>2076</v>
      </c>
      <c r="BB1" s="3">
        <v>2077</v>
      </c>
      <c r="BC1" s="3">
        <v>2078</v>
      </c>
      <c r="BD1" s="3">
        <v>2079</v>
      </c>
      <c r="BE1" s="3">
        <v>2080</v>
      </c>
      <c r="BF1" s="3">
        <v>2081</v>
      </c>
      <c r="BG1" s="3">
        <v>2082</v>
      </c>
      <c r="BH1" s="3">
        <v>2083</v>
      </c>
      <c r="BI1" s="3">
        <v>2084</v>
      </c>
      <c r="BJ1" s="3">
        <v>2085</v>
      </c>
      <c r="BK1" s="3">
        <v>2086</v>
      </c>
      <c r="BL1" s="3">
        <v>2087</v>
      </c>
      <c r="BM1" s="3">
        <v>2088</v>
      </c>
      <c r="BN1" s="3">
        <v>2089</v>
      </c>
      <c r="BO1" s="3">
        <v>2090</v>
      </c>
      <c r="BP1" s="3">
        <v>2091</v>
      </c>
      <c r="BQ1" s="3">
        <v>2092</v>
      </c>
      <c r="BR1" s="3">
        <v>2093</v>
      </c>
      <c r="BS1" s="3">
        <v>2094</v>
      </c>
      <c r="BT1" s="3">
        <v>2095</v>
      </c>
      <c r="BU1" s="3">
        <v>2096</v>
      </c>
      <c r="BV1" s="3">
        <v>2097</v>
      </c>
      <c r="BW1" s="3">
        <v>2098</v>
      </c>
      <c r="BX1" s="3">
        <v>2099</v>
      </c>
      <c r="BY1" s="3">
        <v>2100</v>
      </c>
      <c r="BZ1" s="3">
        <v>2101</v>
      </c>
      <c r="CA1" s="3">
        <v>2102</v>
      </c>
      <c r="CB1" s="3">
        <v>2103</v>
      </c>
      <c r="CC1" s="3">
        <v>2104</v>
      </c>
      <c r="CD1" s="3">
        <v>2105</v>
      </c>
      <c r="CE1" s="3">
        <v>2106</v>
      </c>
      <c r="CF1" s="3">
        <v>2107</v>
      </c>
      <c r="CG1" s="3">
        <v>2108</v>
      </c>
      <c r="CH1" s="3">
        <v>2109</v>
      </c>
      <c r="CI1" s="3">
        <v>2110</v>
      </c>
      <c r="CJ1" s="3">
        <v>2111</v>
      </c>
      <c r="CK1" s="3">
        <v>2112</v>
      </c>
      <c r="CL1" s="3">
        <v>2113</v>
      </c>
      <c r="CM1" s="3">
        <v>2114</v>
      </c>
      <c r="CN1" s="3">
        <v>2115</v>
      </c>
      <c r="CO1" s="3">
        <v>2116</v>
      </c>
      <c r="CP1" s="3">
        <v>2117</v>
      </c>
      <c r="CQ1" s="3">
        <v>2118</v>
      </c>
      <c r="CR1" s="3">
        <v>2119</v>
      </c>
      <c r="CS1" s="3">
        <v>2120</v>
      </c>
      <c r="CT1" s="3">
        <v>2121</v>
      </c>
      <c r="CU1" s="3">
        <v>2122</v>
      </c>
      <c r="CV1" s="3">
        <v>2123</v>
      </c>
      <c r="CW1" s="3">
        <v>2124</v>
      </c>
      <c r="CX1" s="3">
        <v>2125</v>
      </c>
      <c r="CY1" s="3">
        <v>2126</v>
      </c>
      <c r="CZ1" s="3">
        <v>2127</v>
      </c>
      <c r="DA1" s="3">
        <v>2128</v>
      </c>
      <c r="DB1" s="3">
        <v>2129</v>
      </c>
      <c r="DC1" s="3">
        <v>2130</v>
      </c>
      <c r="DD1" s="3">
        <v>2131</v>
      </c>
      <c r="DE1" s="3">
        <v>2132</v>
      </c>
      <c r="DF1" s="3">
        <v>2133</v>
      </c>
      <c r="DG1" s="3">
        <v>2134</v>
      </c>
      <c r="DH1" s="3">
        <v>2135</v>
      </c>
      <c r="DI1" s="3">
        <v>2136</v>
      </c>
      <c r="DJ1" s="3">
        <v>2137</v>
      </c>
      <c r="DK1" s="3">
        <v>2138</v>
      </c>
      <c r="DL1" s="3">
        <v>2139</v>
      </c>
      <c r="DM1" s="3">
        <v>2140</v>
      </c>
      <c r="DN1" s="3">
        <v>2141</v>
      </c>
      <c r="DO1" s="3">
        <v>2142</v>
      </c>
      <c r="DP1" s="3">
        <v>2143</v>
      </c>
      <c r="DQ1" s="3">
        <v>2144</v>
      </c>
      <c r="DR1" s="3">
        <v>2145</v>
      </c>
      <c r="DS1" s="3">
        <v>2146</v>
      </c>
      <c r="DT1" s="3">
        <v>2147</v>
      </c>
      <c r="DU1" s="3">
        <v>2148</v>
      </c>
      <c r="DV1" s="3">
        <v>2149</v>
      </c>
      <c r="DW1" s="3">
        <v>2150</v>
      </c>
    </row>
    <row r="2" spans="1:127" x14ac:dyDescent="0.35">
      <c r="A2" s="3">
        <v>0</v>
      </c>
      <c r="B2" s="20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B2" sqref="B2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31" t="s">
        <v>18</v>
      </c>
      <c r="B1" s="31" t="s">
        <v>5</v>
      </c>
      <c r="C1" s="32" t="s">
        <v>16</v>
      </c>
      <c r="D1" s="31" t="s">
        <v>17</v>
      </c>
    </row>
    <row r="2" spans="1:4" x14ac:dyDescent="0.35">
      <c r="A2" s="29">
        <v>2025</v>
      </c>
      <c r="B2" s="34" cm="1">
        <f t="array" ref="B2">ProbActivoEnAnio("Masculino", A2, Hombres!$A$1:$DW$116, Mujeres!$A$1:$DW$116, 'Empleados activos'!$A$2:$E$225)</f>
        <v>109</v>
      </c>
      <c r="C2" s="28" cm="1">
        <f t="array" ref="C2">ProbActivoEnAnio("Femenino", A2, Hombres!$A$1:$DW$116, Mujeres!$A$1:$DW$116, 'Empleados activos'!$A$2:$E$225)</f>
        <v>115</v>
      </c>
      <c r="D2" s="30">
        <f>B2+C2</f>
        <v>224</v>
      </c>
    </row>
    <row r="3" spans="1:4" x14ac:dyDescent="0.35">
      <c r="A3" s="29">
        <f>A2+1</f>
        <v>2026</v>
      </c>
      <c r="B3" s="34" cm="1">
        <f t="array" ref="B3">ProbActivoEnAnio("Masculino", A3, Hombres!$A$1:$DW$116, Mujeres!$A$1:$DW$116, 'Empleados activos'!$A$2:$E$225)</f>
        <v>108.80676200000002</v>
      </c>
      <c r="C3" s="28" cm="1">
        <f t="array" ref="C3">ProbActivoEnAnio("Femenino", A3, Hombres!$A$1:$DW$116, Mujeres!$A$1:$DW$116, 'Empleados activos'!$A$2:$E$225)</f>
        <v>114.9104658000001</v>
      </c>
      <c r="D3" s="30">
        <f t="shared" ref="D3:D46" si="0">B3+C3</f>
        <v>223.7172278000001</v>
      </c>
    </row>
    <row r="4" spans="1:4" x14ac:dyDescent="0.35">
      <c r="A4" s="29">
        <f t="shared" ref="A4:A46" si="1">A3+1</f>
        <v>2027</v>
      </c>
      <c r="B4" s="34" cm="1">
        <f t="array" ref="B4">ProbActivoEnAnio("Masculino", A4, Hombres!$A$1:$DW$116, Mujeres!$A$1:$DW$116, 'Empleados activos'!$A$2:$E$225)</f>
        <v>108.60686297583139</v>
      </c>
      <c r="C4" s="28" cm="1">
        <f t="array" ref="C4">ProbActivoEnAnio("Femenino", A4, Hombres!$A$1:$DW$116, Mujeres!$A$1:$DW$116, 'Empleados activos'!$A$2:$E$225)</f>
        <v>114.81611835293153</v>
      </c>
      <c r="D4" s="30">
        <f t="shared" si="0"/>
        <v>223.42298132876292</v>
      </c>
    </row>
    <row r="5" spans="1:4" x14ac:dyDescent="0.35">
      <c r="A5" s="29">
        <f t="shared" si="1"/>
        <v>2028</v>
      </c>
      <c r="B5" s="34" cm="1">
        <f t="array" ref="B5">ProbActivoEnAnio("Masculino", A5, Hombres!$A$1:$DW$116, Mujeres!$A$1:$DW$116, 'Empleados activos'!$A$2:$E$225)</f>
        <v>108.39914400360274</v>
      </c>
      <c r="C5" s="28" cm="1">
        <f t="array" ref="C5">ProbActivoEnAnio("Femenino", A5, Hombres!$A$1:$DW$116, Mujeres!$A$1:$DW$116, 'Empleados activos'!$A$2:$E$225)</f>
        <v>114.7163964009838</v>
      </c>
      <c r="D5" s="30">
        <f t="shared" si="0"/>
        <v>223.11554040458654</v>
      </c>
    </row>
    <row r="6" spans="1:4" x14ac:dyDescent="0.35">
      <c r="A6" s="29">
        <f t="shared" si="1"/>
        <v>2029</v>
      </c>
      <c r="B6" s="34" cm="1">
        <f t="array" ref="B6">ProbActivoEnAnio("Masculino", A6, Hombres!$A$1:$DW$116, Mujeres!$A$1:$DW$116, 'Empleados activos'!$A$2:$E$225)</f>
        <v>107.22329641930922</v>
      </c>
      <c r="C6" s="28" cm="1">
        <f t="array" ref="C6">ProbActivoEnAnio("Femenino", A6, Hombres!$A$1:$DW$116, Mujeres!$A$1:$DW$116, 'Empleados activos'!$A$2:$E$225)</f>
        <v>114.61061063726777</v>
      </c>
      <c r="D6" s="30">
        <f t="shared" si="0"/>
        <v>221.833907056577</v>
      </c>
    </row>
    <row r="7" spans="1:4" x14ac:dyDescent="0.35">
      <c r="A7" s="29">
        <f t="shared" si="1"/>
        <v>2030</v>
      </c>
      <c r="B7" s="34" cm="1">
        <f t="array" ref="B7">ProbActivoEnAnio("Masculino", A7, Hombres!$A$1:$DW$116, Mujeres!$A$1:$DW$116, 'Empleados activos'!$A$2:$E$225)</f>
        <v>107.00822382728188</v>
      </c>
      <c r="C7" s="28" cm="1">
        <f t="array" ref="C7">ProbActivoEnAnio("Femenino", A7, Hombres!$A$1:$DW$116, Mujeres!$A$1:$DW$116, 'Empleados activos'!$A$2:$E$225)</f>
        <v>114.49818360551822</v>
      </c>
      <c r="D7" s="30">
        <f t="shared" si="0"/>
        <v>221.5064074328001</v>
      </c>
    </row>
    <row r="8" spans="1:4" x14ac:dyDescent="0.35">
      <c r="A8" s="29">
        <f t="shared" si="1"/>
        <v>2031</v>
      </c>
      <c r="B8" s="34" cm="1">
        <f t="array" ref="B8">ProbActivoEnAnio("Masculino", A8, Hombres!$A$1:$DW$116, Mujeres!$A$1:$DW$116, 'Empleados activos'!$A$2:$E$225)</f>
        <v>106.78272933799251</v>
      </c>
      <c r="C8" s="28" cm="1">
        <f t="array" ref="C8">ProbActivoEnAnio("Femenino", A8, Hombres!$A$1:$DW$116, Mujeres!$A$1:$DW$116, 'Empleados activos'!$A$2:$E$225)</f>
        <v>113.40394906494532</v>
      </c>
      <c r="D8" s="30">
        <f t="shared" si="0"/>
        <v>220.18667840293784</v>
      </c>
    </row>
    <row r="9" spans="1:4" x14ac:dyDescent="0.35">
      <c r="A9" s="29">
        <f t="shared" si="1"/>
        <v>2032</v>
      </c>
      <c r="B9" s="34" cm="1">
        <f t="array" ref="B9">ProbActivoEnAnio("Masculino", A9, Hombres!$A$1:$DW$116, Mujeres!$A$1:$DW$116, 'Empleados activos'!$A$2:$E$225)</f>
        <v>106.545616170095</v>
      </c>
      <c r="C9" s="28" cm="1">
        <f t="array" ref="C9">ProbActivoEnAnio("Femenino", A9, Hombres!$A$1:$DW$116, Mujeres!$A$1:$DW$116, 'Empleados activos'!$A$2:$E$225)</f>
        <v>112.31013206055941</v>
      </c>
      <c r="D9" s="30">
        <f t="shared" si="0"/>
        <v>218.8557482306544</v>
      </c>
    </row>
    <row r="10" spans="1:4" x14ac:dyDescent="0.35">
      <c r="A10" s="29">
        <f t="shared" si="1"/>
        <v>2033</v>
      </c>
      <c r="B10" s="34" cm="1">
        <f t="array" ref="B10">ProbActivoEnAnio("Masculino", A10, Hombres!$A$1:$DW$116, Mujeres!$A$1:$DW$116, 'Empleados activos'!$A$2:$E$225)</f>
        <v>106.29561830632736</v>
      </c>
      <c r="C10" s="28" cm="1">
        <f t="array" ref="C10">ProbActivoEnAnio("Femenino", A10, Hombres!$A$1:$DW$116, Mujeres!$A$1:$DW$116, 'Empleados activos'!$A$2:$E$225)</f>
        <v>111.21596724887698</v>
      </c>
      <c r="D10" s="30">
        <f t="shared" si="0"/>
        <v>217.51158555520433</v>
      </c>
    </row>
    <row r="11" spans="1:4" x14ac:dyDescent="0.35">
      <c r="A11" s="29">
        <f t="shared" si="1"/>
        <v>2034</v>
      </c>
      <c r="B11" s="34" cm="1">
        <f t="array" ref="B11">ProbActivoEnAnio("Masculino", A11, Hombres!$A$1:$DW$116, Mujeres!$A$1:$DW$116, 'Empleados activos'!$A$2:$E$225)</f>
        <v>106.03163821395256</v>
      </c>
      <c r="C11" s="28" cm="1">
        <f t="array" ref="C11">ProbActivoEnAnio("Femenino", A11, Hombres!$A$1:$DW$116, Mujeres!$A$1:$DW$116, 'Empleados activos'!$A$2:$E$225)</f>
        <v>111.08834093213085</v>
      </c>
      <c r="D11" s="30">
        <f t="shared" si="0"/>
        <v>217.11997914608341</v>
      </c>
    </row>
    <row r="12" spans="1:4" x14ac:dyDescent="0.35">
      <c r="A12" s="29">
        <f t="shared" si="1"/>
        <v>2035</v>
      </c>
      <c r="B12" s="34" cm="1">
        <f t="array" ref="B12">ProbActivoEnAnio("Masculino", A12, Hombres!$A$1:$DW$116, Mujeres!$A$1:$DW$116, 'Empleados activos'!$A$2:$E$225)</f>
        <v>105.75302665662302</v>
      </c>
      <c r="C12" s="28" cm="1">
        <f t="array" ref="C12">ProbActivoEnAnio("Femenino", A12, Hombres!$A$1:$DW$116, Mujeres!$A$1:$DW$116, 'Empleados activos'!$A$2:$E$225)</f>
        <v>109.9862625614323</v>
      </c>
      <c r="D12" s="30">
        <f t="shared" si="0"/>
        <v>215.73928921805532</v>
      </c>
    </row>
    <row r="13" spans="1:4" x14ac:dyDescent="0.35">
      <c r="A13" s="29">
        <f t="shared" si="1"/>
        <v>2036</v>
      </c>
      <c r="B13" s="34" cm="1">
        <f t="array" ref="B13">ProbActivoEnAnio("Masculino", A13, Hombres!$A$1:$DW$116, Mujeres!$A$1:$DW$116, 'Empleados activos'!$A$2:$E$225)</f>
        <v>105.45898184963744</v>
      </c>
      <c r="C13" s="28" cm="1">
        <f t="array" ref="C13">ProbActivoEnAnio("Femenino", A13, Hombres!$A$1:$DW$116, Mujeres!$A$1:$DW$116, 'Empleados activos'!$A$2:$E$225)</f>
        <v>109.8459356563875</v>
      </c>
      <c r="D13" s="30">
        <f t="shared" si="0"/>
        <v>215.30491750602494</v>
      </c>
    </row>
    <row r="14" spans="1:4" x14ac:dyDescent="0.35">
      <c r="A14" s="29">
        <f t="shared" si="1"/>
        <v>2037</v>
      </c>
      <c r="B14" s="34" cm="1">
        <f t="array" ref="B14">ProbActivoEnAnio("Masculino", A14, Hombres!$A$1:$DW$116, Mujeres!$A$1:$DW$116, 'Empleados activos'!$A$2:$E$225)</f>
        <v>104.23118035419969</v>
      </c>
      <c r="C14" s="28" cm="1">
        <f t="array" ref="C14">ProbActivoEnAnio("Femenino", A14, Hombres!$A$1:$DW$116, Mujeres!$A$1:$DW$116, 'Empleados activos'!$A$2:$E$225)</f>
        <v>109.69597688141791</v>
      </c>
      <c r="D14" s="30">
        <f t="shared" si="0"/>
        <v>213.92715723561759</v>
      </c>
    </row>
    <row r="15" spans="1:4" x14ac:dyDescent="0.35">
      <c r="A15" s="29">
        <f t="shared" si="1"/>
        <v>2038</v>
      </c>
      <c r="B15" s="34" cm="1">
        <f t="array" ref="B15">ProbActivoEnAnio("Masculino", A15, Hombres!$A$1:$DW$116, Mujeres!$A$1:$DW$116, 'Empleados activos'!$A$2:$E$225)</f>
        <v>103.91167765425243</v>
      </c>
      <c r="C15" s="28" cm="1">
        <f t="array" ref="C15">ProbActivoEnAnio("Femenino", A15, Hombres!$A$1:$DW$116, Mujeres!$A$1:$DW$116, 'Empleados activos'!$A$2:$E$225)</f>
        <v>108.5734510696317</v>
      </c>
      <c r="D15" s="30">
        <f t="shared" si="0"/>
        <v>212.48512872388415</v>
      </c>
    </row>
    <row r="16" spans="1:4" x14ac:dyDescent="0.35">
      <c r="A16" s="29">
        <f t="shared" si="1"/>
        <v>2039</v>
      </c>
      <c r="B16" s="34" cm="1">
        <f t="array" ref="B16">ProbActivoEnAnio("Masculino", A16, Hombres!$A$1:$DW$116, Mujeres!$A$1:$DW$116, 'Empleados activos'!$A$2:$E$225)</f>
        <v>102.6600839964612</v>
      </c>
      <c r="C16" s="28" cm="1">
        <f t="array" ref="C16">ProbActivoEnAnio("Femenino", A16, Hombres!$A$1:$DW$116, Mujeres!$A$1:$DW$116, 'Empleados activos'!$A$2:$E$225)</f>
        <v>106.48389280582862</v>
      </c>
      <c r="D16" s="30">
        <f t="shared" si="0"/>
        <v>209.14397680228981</v>
      </c>
    </row>
    <row r="17" spans="1:4" x14ac:dyDescent="0.35">
      <c r="A17" s="29">
        <f t="shared" si="1"/>
        <v>2040</v>
      </c>
      <c r="B17" s="34" cm="1">
        <f t="array" ref="B17">ProbActivoEnAnio("Masculino", A17, Hombres!$A$1:$DW$116, Mujeres!$A$1:$DW$116, 'Empleados activos'!$A$2:$E$225)</f>
        <v>99.58027935964725</v>
      </c>
      <c r="C17" s="28" cm="1">
        <f t="array" ref="C17">ProbActivoEnAnio("Femenino", A17, Hombres!$A$1:$DW$116, Mujeres!$A$1:$DW$116, 'Empleados activos'!$A$2:$E$225)</f>
        <v>103.43277485209939</v>
      </c>
      <c r="D17" s="30">
        <f t="shared" si="0"/>
        <v>203.01305421174663</v>
      </c>
    </row>
    <row r="18" spans="1:4" x14ac:dyDescent="0.35">
      <c r="A18" s="29">
        <f t="shared" si="1"/>
        <v>2041</v>
      </c>
      <c r="B18" s="34" cm="1">
        <f t="array" ref="B18">ProbActivoEnAnio("Masculino", A18, Hombres!$A$1:$DW$116, Mujeres!$A$1:$DW$116, 'Empleados activos'!$A$2:$E$225)</f>
        <v>95.606394137154211</v>
      </c>
      <c r="C18" s="28" cm="1">
        <f t="array" ref="C18">ProbActivoEnAnio("Femenino", A18, Hombres!$A$1:$DW$116, Mujeres!$A$1:$DW$116, 'Empleados activos'!$A$2:$E$225)</f>
        <v>100.38486604968071</v>
      </c>
      <c r="D18" s="30">
        <f t="shared" si="0"/>
        <v>195.99126018683492</v>
      </c>
    </row>
    <row r="19" spans="1:4" x14ac:dyDescent="0.35">
      <c r="A19" s="29">
        <f t="shared" si="1"/>
        <v>2042</v>
      </c>
      <c r="B19" s="34" cm="1">
        <f t="array" ref="B19">ProbActivoEnAnio("Masculino", A19, Hombres!$A$1:$DW$116, Mujeres!$A$1:$DW$116, 'Empleados activos'!$A$2:$E$225)</f>
        <v>94.372054448624823</v>
      </c>
      <c r="C19" s="28" cm="1">
        <f t="array" ref="C19">ProbActivoEnAnio("Femenino", A19, Hombres!$A$1:$DW$116, Mujeres!$A$1:$DW$116, 'Empleados activos'!$A$2:$E$225)</f>
        <v>98.298443493600573</v>
      </c>
      <c r="D19" s="30">
        <f t="shared" si="0"/>
        <v>192.67049794222538</v>
      </c>
    </row>
    <row r="20" spans="1:4" x14ac:dyDescent="0.35">
      <c r="A20" s="29">
        <f t="shared" si="1"/>
        <v>2043</v>
      </c>
      <c r="B20" s="34" cm="1">
        <f t="array" ref="B20">ProbActivoEnAnio("Masculino", A20, Hombres!$A$1:$DW$116, Mujeres!$A$1:$DW$116, 'Empleados activos'!$A$2:$E$225)</f>
        <v>91.320958619258121</v>
      </c>
      <c r="C20" s="28" cm="1">
        <f t="array" ref="C20">ProbActivoEnAnio("Femenino", A20, Hombres!$A$1:$DW$116, Mujeres!$A$1:$DW$116, 'Empleados activos'!$A$2:$E$225)</f>
        <v>94.29204469096841</v>
      </c>
      <c r="D20" s="30">
        <f t="shared" si="0"/>
        <v>185.61300331022653</v>
      </c>
    </row>
    <row r="21" spans="1:4" x14ac:dyDescent="0.35">
      <c r="A21" s="29">
        <f t="shared" si="1"/>
        <v>2044</v>
      </c>
      <c r="B21" s="34" cm="1">
        <f t="array" ref="B21">ProbActivoEnAnio("Masculino", A21, Hombres!$A$1:$DW$116, Mujeres!$A$1:$DW$116, 'Empleados activos'!$A$2:$E$225)</f>
        <v>90.987723563201854</v>
      </c>
      <c r="C21" s="28" cm="1">
        <f t="array" ref="C21">ProbActivoEnAnio("Femenino", A21, Hombres!$A$1:$DW$116, Mujeres!$A$1:$DW$116, 'Empleados activos'!$A$2:$E$225)</f>
        <v>89.333033844367932</v>
      </c>
      <c r="D21" s="30">
        <f t="shared" si="0"/>
        <v>180.32075740756977</v>
      </c>
    </row>
    <row r="22" spans="1:4" x14ac:dyDescent="0.35">
      <c r="A22" s="29">
        <f t="shared" si="1"/>
        <v>2045</v>
      </c>
      <c r="B22" s="34" cm="1">
        <f t="array" ref="B22">ProbActivoEnAnio("Masculino", A22, Hombres!$A$1:$DW$116, Mujeres!$A$1:$DW$116, 'Empleados activos'!$A$2:$E$225)</f>
        <v>87.929896950444288</v>
      </c>
      <c r="C22" s="28" cm="1">
        <f t="array" ref="C22">ProbActivoEnAnio("Femenino", A22, Hombres!$A$1:$DW$116, Mujeres!$A$1:$DW$116, 'Empleados activos'!$A$2:$E$225)</f>
        <v>87.25763304622582</v>
      </c>
      <c r="D22" s="30">
        <f t="shared" si="0"/>
        <v>175.18752999667009</v>
      </c>
    </row>
    <row r="23" spans="1:4" x14ac:dyDescent="0.35">
      <c r="A23" s="29">
        <f t="shared" si="1"/>
        <v>2046</v>
      </c>
      <c r="B23" s="34" cm="1">
        <f t="array" ref="B23">ProbActivoEnAnio("Masculino", A23, Hombres!$A$1:$DW$116, Mujeres!$A$1:$DW$116, 'Empleados activos'!$A$2:$E$225)</f>
        <v>86.679863923671647</v>
      </c>
      <c r="C23" s="28" cm="1">
        <f t="array" ref="C23">ProbActivoEnAnio("Femenino", A23, Hombres!$A$1:$DW$116, Mujeres!$A$1:$DW$116, 'Empleados activos'!$A$2:$E$225)</f>
        <v>83.26336721159781</v>
      </c>
      <c r="D23" s="30">
        <f t="shared" si="0"/>
        <v>169.94323113526946</v>
      </c>
    </row>
    <row r="24" spans="1:4" x14ac:dyDescent="0.35">
      <c r="A24" s="29">
        <f t="shared" si="1"/>
        <v>2047</v>
      </c>
      <c r="B24" s="34" cm="1">
        <f t="array" ref="B24">ProbActivoEnAnio("Masculino", A24, Hombres!$A$1:$DW$116, Mujeres!$A$1:$DW$116, 'Empleados activos'!$A$2:$E$225)</f>
        <v>80.020341119649899</v>
      </c>
      <c r="C24" s="28" cm="1">
        <f t="array" ref="C24">ProbActivoEnAnio("Femenino", A24, Hombres!$A$1:$DW$116, Mujeres!$A$1:$DW$116, 'Empleados activos'!$A$2:$E$225)</f>
        <v>80.231141793042724</v>
      </c>
      <c r="D24" s="30">
        <f t="shared" si="0"/>
        <v>160.25148291269261</v>
      </c>
    </row>
    <row r="25" spans="1:4" x14ac:dyDescent="0.35">
      <c r="A25" s="29">
        <f t="shared" si="1"/>
        <v>2048</v>
      </c>
      <c r="B25" s="34" cm="1">
        <f t="array" ref="B25">ProbActivoEnAnio("Masculino", A25, Hombres!$A$1:$DW$116, Mujeres!$A$1:$DW$116, 'Empleados activos'!$A$2:$E$225)</f>
        <v>78.793751442403575</v>
      </c>
      <c r="C25" s="28" cm="1">
        <f t="array" ref="C25">ProbActivoEnAnio("Femenino", A25, Hombres!$A$1:$DW$116, Mujeres!$A$1:$DW$116, 'Empleados activos'!$A$2:$E$225)</f>
        <v>78.15633024329405</v>
      </c>
      <c r="D25" s="30">
        <f t="shared" si="0"/>
        <v>156.95008168569763</v>
      </c>
    </row>
    <row r="26" spans="1:4" x14ac:dyDescent="0.35">
      <c r="A26" s="29">
        <f t="shared" si="1"/>
        <v>2049</v>
      </c>
      <c r="B26" s="30" cm="1">
        <f t="array" ref="B26">ProbActivoEnAnio("Masculino", A26, Hombres!$A$1:$DW$116, Mujeres!$A$1:$DW$116, 'Empleados activos'!$A$2:$E$225)</f>
        <v>77.551491510630214</v>
      </c>
      <c r="C26" s="28" cm="1">
        <f t="array" ref="C26">ProbActivoEnAnio("Femenino", A26, Hombres!$A$1:$DW$116, Mujeres!$A$1:$DW$116, 'Empleados activos'!$A$2:$E$225)</f>
        <v>71.287402573112914</v>
      </c>
      <c r="D26" s="30">
        <f t="shared" si="0"/>
        <v>148.83889408374313</v>
      </c>
    </row>
    <row r="27" spans="1:4" x14ac:dyDescent="0.35">
      <c r="A27" s="29">
        <f t="shared" si="1"/>
        <v>2050</v>
      </c>
      <c r="B27" s="30" cm="1">
        <f t="array" ref="B27">ProbActivoEnAnio("Masculino", A27, Hombres!$A$1:$DW$116, Mujeres!$A$1:$DW$116, 'Empleados activos'!$A$2:$E$225)</f>
        <v>76.291989079943932</v>
      </c>
      <c r="C27" s="28" cm="1">
        <f t="array" ref="C27">ProbActivoEnAnio("Femenino", A27, Hombres!$A$1:$DW$116, Mujeres!$A$1:$DW$116, 'Empleados activos'!$A$2:$E$225)</f>
        <v>63.474225808476945</v>
      </c>
      <c r="D27" s="30">
        <f t="shared" si="0"/>
        <v>139.76621488842088</v>
      </c>
    </row>
    <row r="28" spans="1:4" x14ac:dyDescent="0.35">
      <c r="A28" s="29">
        <f t="shared" si="1"/>
        <v>2051</v>
      </c>
      <c r="B28" s="30" cm="1">
        <f t="array" ref="B28">ProbActivoEnAnio("Masculino", A28, Hombres!$A$1:$DW$116, Mujeres!$A$1:$DW$116, 'Empleados activos'!$A$2:$E$225)</f>
        <v>74.117945345246355</v>
      </c>
      <c r="C28" s="28" cm="1">
        <f t="array" ref="C28">ProbActivoEnAnio("Femenino", A28, Hombres!$A$1:$DW$116, Mujeres!$A$1:$DW$116, 'Empleados activos'!$A$2:$E$225)</f>
        <v>61.427738545096332</v>
      </c>
      <c r="D28" s="30">
        <f t="shared" si="0"/>
        <v>135.54568389034267</v>
      </c>
    </row>
    <row r="29" spans="1:4" x14ac:dyDescent="0.35">
      <c r="A29" s="29">
        <f t="shared" si="1"/>
        <v>2052</v>
      </c>
      <c r="B29" s="30" cm="1">
        <f t="array" ref="B29">ProbActivoEnAnio("Masculino", A29, Hombres!$A$1:$DW$116, Mujeres!$A$1:$DW$116, 'Empleados activos'!$A$2:$E$225)</f>
        <v>71.934727589683746</v>
      </c>
      <c r="C29" s="28" cm="1">
        <f t="array" ref="C29">ProbActivoEnAnio("Femenino", A29, Hombres!$A$1:$DW$116, Mujeres!$A$1:$DW$116, 'Empleados activos'!$A$2:$E$225)</f>
        <v>56.503439385419561</v>
      </c>
      <c r="D29" s="30">
        <f t="shared" si="0"/>
        <v>128.43816697510331</v>
      </c>
    </row>
    <row r="30" spans="1:4" x14ac:dyDescent="0.35">
      <c r="A30" s="29">
        <f t="shared" si="1"/>
        <v>2053</v>
      </c>
      <c r="B30" s="30" cm="1">
        <f t="array" ref="B30">ProbActivoEnAnio("Masculino", A30, Hombres!$A$1:$DW$116, Mujeres!$A$1:$DW$116, 'Empleados activos'!$A$2:$E$225)</f>
        <v>67.052990137172046</v>
      </c>
      <c r="C30" s="28" cm="1">
        <f t="array" ref="C30">ProbActivoEnAnio("Femenino", A30, Hombres!$A$1:$DW$116, Mujeres!$A$1:$DW$116, 'Empleados activos'!$A$2:$E$225)</f>
        <v>52.544368521930046</v>
      </c>
      <c r="D30" s="30">
        <f t="shared" si="0"/>
        <v>119.5973586591021</v>
      </c>
    </row>
    <row r="31" spans="1:4" x14ac:dyDescent="0.35">
      <c r="A31" s="29">
        <f t="shared" si="1"/>
        <v>2054</v>
      </c>
      <c r="B31" s="30" cm="1">
        <f t="array" ref="B31">ProbActivoEnAnio("Masculino", A31, Hombres!$A$1:$DW$116, Mujeres!$A$1:$DW$116, 'Empleados activos'!$A$2:$E$225)</f>
        <v>62.186444851691505</v>
      </c>
      <c r="C31" s="28" cm="1">
        <f t="array" ref="C31">ProbActivoEnAnio("Femenino", A31, Hombres!$A$1:$DW$116, Mujeres!$A$1:$DW$116, 'Empleados activos'!$A$2:$E$225)</f>
        <v>47.629522679485532</v>
      </c>
      <c r="D31" s="30">
        <f t="shared" si="0"/>
        <v>109.81596753117704</v>
      </c>
    </row>
    <row r="32" spans="1:4" x14ac:dyDescent="0.35">
      <c r="A32" s="29">
        <f t="shared" si="1"/>
        <v>2055</v>
      </c>
      <c r="B32" s="30" cm="1">
        <f t="array" ref="B32">ProbActivoEnAnio("Masculino", A32, Hombres!$A$1:$DW$116, Mujeres!$A$1:$DW$116, 'Empleados activos'!$A$2:$E$225)</f>
        <v>54.647500963781631</v>
      </c>
      <c r="C32" s="28" cm="1">
        <f t="array" ref="C32">ProbActivoEnAnio("Femenino", A32, Hombres!$A$1:$DW$116, Mujeres!$A$1:$DW$116, 'Empleados activos'!$A$2:$E$225)</f>
        <v>41.761679358339912</v>
      </c>
      <c r="D32" s="30">
        <f t="shared" si="0"/>
        <v>96.409180322121543</v>
      </c>
    </row>
    <row r="33" spans="1:4" x14ac:dyDescent="0.35">
      <c r="A33" s="29">
        <f t="shared" si="1"/>
        <v>2056</v>
      </c>
      <c r="B33" s="30" cm="1">
        <f t="array" ref="B33">ProbActivoEnAnio("Masculino", A33, Hombres!$A$1:$DW$116, Mujeres!$A$1:$DW$116, 'Empleados activos'!$A$2:$E$225)</f>
        <v>46.25330486472177</v>
      </c>
      <c r="C33" s="28" cm="1">
        <f t="array" ref="C33">ProbActivoEnAnio("Femenino", A33, Hombres!$A$1:$DW$116, Mujeres!$A$1:$DW$116, 'Empleados activos'!$A$2:$E$225)</f>
        <v>31.105883190887184</v>
      </c>
      <c r="D33" s="30">
        <f t="shared" si="0"/>
        <v>77.359188055608954</v>
      </c>
    </row>
    <row r="34" spans="1:4" x14ac:dyDescent="0.35">
      <c r="A34" s="29">
        <f t="shared" si="1"/>
        <v>2057</v>
      </c>
      <c r="B34" s="30" cm="1">
        <f t="array" ref="B34">ProbActivoEnAnio("Masculino", A34, Hombres!$A$1:$DW$116, Mujeres!$A$1:$DW$116, 'Empleados activos'!$A$2:$E$225)</f>
        <v>34.325572681991645</v>
      </c>
      <c r="C34" s="28" cm="1">
        <f t="array" ref="C34">ProbActivoEnAnio("Femenino", A34, Hombres!$A$1:$DW$116, Mujeres!$A$1:$DW$116, 'Empleados activos'!$A$2:$E$225)</f>
        <v>28.15453856375985</v>
      </c>
      <c r="D34" s="30">
        <f t="shared" si="0"/>
        <v>62.480111245751495</v>
      </c>
    </row>
    <row r="35" spans="1:4" x14ac:dyDescent="0.35">
      <c r="A35" s="29">
        <f t="shared" si="1"/>
        <v>2058</v>
      </c>
      <c r="B35" s="30" cm="1">
        <f t="array" ref="B35">ProbActivoEnAnio("Masculino", A35, Hombres!$A$1:$DW$116, Mujeres!$A$1:$DW$116, 'Empleados activos'!$A$2:$E$225)</f>
        <v>29.649390509893983</v>
      </c>
      <c r="C35" s="28" cm="1">
        <f t="array" ref="C35">ProbActivoEnAnio("Femenino", A35, Hombres!$A$1:$DW$116, Mujeres!$A$1:$DW$116, 'Empleados activos'!$A$2:$E$225)</f>
        <v>23.285526070175969</v>
      </c>
      <c r="D35" s="30">
        <f t="shared" si="0"/>
        <v>52.934916580069952</v>
      </c>
    </row>
    <row r="36" spans="1:4" x14ac:dyDescent="0.35">
      <c r="A36" s="29">
        <f t="shared" si="1"/>
        <v>2059</v>
      </c>
      <c r="B36" s="30" cm="1">
        <f t="array" ref="B36">ProbActivoEnAnio("Masculino", A36, Hombres!$A$1:$DW$116, Mujeres!$A$1:$DW$116, 'Empleados activos'!$A$2:$E$225)</f>
        <v>25.894388204695456</v>
      </c>
      <c r="C36" s="28" cm="1">
        <f t="array" ref="C36">ProbActivoEnAnio("Femenino", A36, Hombres!$A$1:$DW$116, Mujeres!$A$1:$DW$116, 'Empleados activos'!$A$2:$E$225)</f>
        <v>18.425261650059824</v>
      </c>
      <c r="D36" s="30">
        <f t="shared" si="0"/>
        <v>44.319649854755284</v>
      </c>
    </row>
    <row r="37" spans="1:4" x14ac:dyDescent="0.35">
      <c r="A37" s="29">
        <f t="shared" si="1"/>
        <v>2060</v>
      </c>
      <c r="B37" s="30" cm="1">
        <f t="array" ref="B37">ProbActivoEnAnio("Masculino", A37, Hombres!$A$1:$DW$116, Mujeres!$A$1:$DW$116, 'Empleados activos'!$A$2:$E$225)</f>
        <v>22.158229240405348</v>
      </c>
      <c r="C37" s="28" cm="1">
        <f t="array" ref="C37">ProbActivoEnAnio("Femenino", A37, Hombres!$A$1:$DW$116, Mujeres!$A$1:$DW$116, 'Empleados activos'!$A$2:$E$225)</f>
        <v>12.613249344215465</v>
      </c>
      <c r="D37" s="30">
        <f t="shared" si="0"/>
        <v>34.771478584620809</v>
      </c>
    </row>
    <row r="38" spans="1:4" x14ac:dyDescent="0.35">
      <c r="A38" s="29">
        <f t="shared" si="1"/>
        <v>2061</v>
      </c>
      <c r="B38" s="30" cm="1">
        <f t="array" ref="B38">ProbActivoEnAnio("Masculino", A38, Hombres!$A$1:$DW$116, Mujeres!$A$1:$DW$116, 'Empleados activos'!$A$2:$E$225)</f>
        <v>19.338107189264228</v>
      </c>
      <c r="C38" s="28" cm="1">
        <f t="array" ref="C38">ProbActivoEnAnio("Femenino", A38, Hombres!$A$1:$DW$116, Mujeres!$A$1:$DW$116, 'Empleados activos'!$A$2:$E$225)</f>
        <v>11.621659324187668</v>
      </c>
      <c r="D38" s="30">
        <f t="shared" si="0"/>
        <v>30.959766513451896</v>
      </c>
    </row>
    <row r="39" spans="1:4" x14ac:dyDescent="0.35">
      <c r="A39" s="29">
        <f t="shared" si="1"/>
        <v>2062</v>
      </c>
      <c r="B39" s="30" cm="1">
        <f t="array" ref="B39">ProbActivoEnAnio("Masculino", A39, Hombres!$A$1:$DW$116, Mujeres!$A$1:$DW$116, 'Empleados activos'!$A$2:$E$225)</f>
        <v>18.323687973787944</v>
      </c>
      <c r="C39" s="28" cm="1">
        <f t="array" ref="C39">ProbActivoEnAnio("Femenino", A39, Hombres!$A$1:$DW$116, Mujeres!$A$1:$DW$116, 'Empleados activos'!$A$2:$E$225)</f>
        <v>7.7441535835336595</v>
      </c>
      <c r="D39" s="30">
        <f t="shared" si="0"/>
        <v>26.067841557321604</v>
      </c>
    </row>
    <row r="40" spans="1:4" x14ac:dyDescent="0.35">
      <c r="A40" s="29">
        <f t="shared" si="1"/>
        <v>2063</v>
      </c>
      <c r="B40" s="30" cm="1">
        <f t="array" ref="B40">ProbActivoEnAnio("Masculino", A40, Hombres!$A$1:$DW$116, Mujeres!$A$1:$DW$116, 'Empleados activos'!$A$2:$E$225)</f>
        <v>15.516176848998176</v>
      </c>
      <c r="C40" s="28" cm="1">
        <f t="array" ref="C40">ProbActivoEnAnio("Femenino", A40, Hombres!$A$1:$DW$116, Mujeres!$A$1:$DW$116, 'Empleados activos'!$A$2:$E$225)</f>
        <v>5.7992985161597828</v>
      </c>
      <c r="D40" s="30">
        <f t="shared" si="0"/>
        <v>21.315475365157958</v>
      </c>
    </row>
    <row r="41" spans="1:4" x14ac:dyDescent="0.35">
      <c r="A41" s="29">
        <f t="shared" si="1"/>
        <v>2064</v>
      </c>
      <c r="B41" s="30" cm="1">
        <f t="array" ref="B41">ProbActivoEnAnio("Masculino", A41, Hombres!$A$1:$DW$116, Mujeres!$A$1:$DW$116, 'Empleados activos'!$A$2:$E$225)</f>
        <v>8.2409251331367344</v>
      </c>
      <c r="C41" s="28" cm="1">
        <f t="array" ref="C41">ProbActivoEnAnio("Femenino", A41, Hombres!$A$1:$DW$116, Mujeres!$A$1:$DW$116, 'Empleados activos'!$A$2:$E$225)</f>
        <v>1.9319969919693292</v>
      </c>
      <c r="D41" s="30">
        <f t="shared" si="0"/>
        <v>10.172922125106064</v>
      </c>
    </row>
    <row r="42" spans="1:4" x14ac:dyDescent="0.35">
      <c r="A42" s="29">
        <f t="shared" si="1"/>
        <v>2065</v>
      </c>
      <c r="B42" s="30" cm="1">
        <f t="array" ref="B42">ProbActivoEnAnio("Masculino", A42, Hombres!$A$1:$DW$116, Mujeres!$A$1:$DW$116, 'Empleados activos'!$A$2:$E$225)</f>
        <v>6.3951198579511379</v>
      </c>
      <c r="C42" s="28" cm="1">
        <f t="array" ref="C42">ProbActivoEnAnio("Femenino", A42, Hombres!$A$1:$DW$116, Mujeres!$A$1:$DW$116, 'Empleados activos'!$A$2:$E$225)</f>
        <v>0</v>
      </c>
      <c r="D42" s="30">
        <f t="shared" si="0"/>
        <v>6.3951198579511379</v>
      </c>
    </row>
    <row r="43" spans="1:4" x14ac:dyDescent="0.35">
      <c r="A43" s="29">
        <f t="shared" si="1"/>
        <v>2066</v>
      </c>
      <c r="B43" s="30" cm="1">
        <f t="array" ref="B43">ProbActivoEnAnio("Masculino", A43, Hombres!$A$1:$DW$116, Mujeres!$A$1:$DW$116, 'Empleados activos'!$A$2:$E$225)</f>
        <v>4.5600946428754572</v>
      </c>
      <c r="C43" s="28" cm="1">
        <f t="array" ref="C43">ProbActivoEnAnio("Femenino", A43, Hombres!$A$1:$DW$116, Mujeres!$A$1:$DW$116, 'Empleados activos'!$A$2:$E$225)</f>
        <v>0</v>
      </c>
      <c r="D43" s="30">
        <f t="shared" si="0"/>
        <v>4.5600946428754572</v>
      </c>
    </row>
    <row r="44" spans="1:4" x14ac:dyDescent="0.35">
      <c r="A44" s="29">
        <f t="shared" si="1"/>
        <v>2067</v>
      </c>
      <c r="B44" s="30" cm="1">
        <f t="array" ref="B44">ProbActivoEnAnio("Masculino", A44, Hombres!$A$1:$DW$116, Mujeres!$A$1:$DW$116, 'Empleados activos'!$A$2:$E$225)</f>
        <v>3.6332317401711345</v>
      </c>
      <c r="C44" s="28" cm="1">
        <f t="array" ref="C44">ProbActivoEnAnio("Femenino", A44, Hombres!$A$1:$DW$116, Mujeres!$A$1:$DW$116, 'Empleados activos'!$A$2:$E$225)</f>
        <v>0</v>
      </c>
      <c r="D44" s="30">
        <f t="shared" si="0"/>
        <v>3.6332317401711345</v>
      </c>
    </row>
    <row r="45" spans="1:4" x14ac:dyDescent="0.35">
      <c r="A45" s="29">
        <f t="shared" si="1"/>
        <v>2068</v>
      </c>
      <c r="B45" s="30" cm="1">
        <f t="array" ref="B45">ProbActivoEnAnio("Masculino", A45, Hombres!$A$1:$DW$116, Mujeres!$A$1:$DW$116, 'Empleados activos'!$A$2:$E$225)</f>
        <v>2.7113028111845385</v>
      </c>
      <c r="C45" s="28" cm="1">
        <f t="array" ref="C45">ProbActivoEnAnio("Femenino", A45, Hombres!$A$1:$DW$116, Mujeres!$A$1:$DW$116, 'Empleados activos'!$A$2:$E$225)</f>
        <v>0</v>
      </c>
      <c r="D45" s="30">
        <f>B45+C45</f>
        <v>2.7113028111845385</v>
      </c>
    </row>
    <row r="46" spans="1:4" x14ac:dyDescent="0.35">
      <c r="A46" s="29">
        <f t="shared" si="1"/>
        <v>2069</v>
      </c>
      <c r="B46" s="30" cm="1">
        <f t="array" ref="B46">ProbActivoEnAnio("Masculino", A46, Hombres!$A$1:$DW$116, Mujeres!$A$1:$DW$116, 'Empleados activos'!$A$2:$E$225)</f>
        <v>0</v>
      </c>
      <c r="C46" s="28" cm="1">
        <f t="array" ref="C46">ProbActivoEnAnio("Femenino", A46, Hombres!$A$1:$DW$116, Mujeres!$A$1:$DW$116, 'Empleados activos'!$A$2:$E$225)</f>
        <v>0</v>
      </c>
      <c r="D46" s="30">
        <f t="shared" si="0"/>
        <v>0</v>
      </c>
    </row>
    <row r="47" spans="1:4" x14ac:dyDescent="0.35">
      <c r="B47" s="27"/>
      <c r="C47" s="27"/>
      <c r="D47" s="27"/>
    </row>
    <row r="48" spans="1:4" x14ac:dyDescent="0.35">
      <c r="B48" s="27"/>
      <c r="C48" s="27"/>
      <c r="D48" s="27"/>
    </row>
    <row r="49" spans="2:4" x14ac:dyDescent="0.35">
      <c r="B49" s="27"/>
      <c r="C49" s="27"/>
      <c r="D49" s="27"/>
    </row>
    <row r="50" spans="2:4" x14ac:dyDescent="0.35">
      <c r="B50" s="27"/>
      <c r="C50" s="27"/>
      <c r="D50" s="27"/>
    </row>
    <row r="51" spans="2:4" x14ac:dyDescent="0.35">
      <c r="B51" s="27"/>
      <c r="C51" s="27"/>
      <c r="D51" s="27"/>
    </row>
    <row r="52" spans="2:4" x14ac:dyDescent="0.35">
      <c r="B52" s="27"/>
      <c r="C52" s="27"/>
      <c r="D52" s="27"/>
    </row>
    <row r="53" spans="2:4" x14ac:dyDescent="0.35">
      <c r="B53" s="27"/>
      <c r="C53" s="27"/>
      <c r="D53" s="27"/>
    </row>
    <row r="54" spans="2:4" x14ac:dyDescent="0.35">
      <c r="B54" s="27"/>
      <c r="C54" s="27"/>
      <c r="D54" s="27"/>
    </row>
    <row r="55" spans="2:4" x14ac:dyDescent="0.35">
      <c r="B55" s="27"/>
      <c r="C55" s="27"/>
      <c r="D55" s="27"/>
    </row>
    <row r="56" spans="2:4" x14ac:dyDescent="0.35">
      <c r="B56" s="27"/>
      <c r="C56" s="27"/>
      <c r="D56" s="27"/>
    </row>
    <row r="57" spans="2:4" x14ac:dyDescent="0.35">
      <c r="B57" s="27"/>
      <c r="C57" s="27"/>
      <c r="D57" s="27"/>
    </row>
    <row r="58" spans="2:4" x14ac:dyDescent="0.35">
      <c r="B58" s="27"/>
      <c r="C58" s="27"/>
      <c r="D58" s="27"/>
    </row>
    <row r="59" spans="2:4" x14ac:dyDescent="0.35">
      <c r="B59" s="27"/>
      <c r="C59" s="27"/>
      <c r="D59" s="27"/>
    </row>
    <row r="60" spans="2:4" x14ac:dyDescent="0.35">
      <c r="B60" s="27"/>
      <c r="C60" s="27"/>
      <c r="D60" s="27"/>
    </row>
    <row r="61" spans="2:4" x14ac:dyDescent="0.35">
      <c r="B61" s="27"/>
      <c r="C61" s="27"/>
      <c r="D61" s="27"/>
    </row>
    <row r="62" spans="2:4" x14ac:dyDescent="0.35">
      <c r="B62" s="27"/>
      <c r="C62" s="27"/>
      <c r="D62" s="27"/>
    </row>
    <row r="63" spans="2:4" x14ac:dyDescent="0.35">
      <c r="B63" s="27"/>
      <c r="C63" s="27"/>
      <c r="D63" s="27"/>
    </row>
    <row r="64" spans="2:4" x14ac:dyDescent="0.35">
      <c r="B64" s="27"/>
      <c r="C64" s="27"/>
      <c r="D64" s="27"/>
    </row>
    <row r="65" spans="2:4" x14ac:dyDescent="0.35">
      <c r="B65" s="27"/>
      <c r="C65" s="27"/>
      <c r="D65" s="27"/>
    </row>
    <row r="66" spans="2:4" x14ac:dyDescent="0.35">
      <c r="B66" s="27"/>
      <c r="C66" s="27"/>
      <c r="D66" s="27"/>
    </row>
    <row r="67" spans="2:4" x14ac:dyDescent="0.35">
      <c r="B67" s="27"/>
      <c r="C67" s="27"/>
      <c r="D67" s="27"/>
    </row>
    <row r="68" spans="2:4" x14ac:dyDescent="0.35">
      <c r="B68" s="27"/>
      <c r="C68" s="27"/>
      <c r="D68" s="27"/>
    </row>
    <row r="69" spans="2:4" x14ac:dyDescent="0.35">
      <c r="B69" s="27"/>
      <c r="C69" s="27"/>
      <c r="D69" s="27"/>
    </row>
    <row r="70" spans="2:4" x14ac:dyDescent="0.35">
      <c r="B70" s="27"/>
      <c r="C70" s="27"/>
      <c r="D70" s="27"/>
    </row>
    <row r="71" spans="2:4" x14ac:dyDescent="0.35">
      <c r="B71" s="27"/>
      <c r="C71" s="27"/>
      <c r="D71" s="27"/>
    </row>
    <row r="72" spans="2:4" x14ac:dyDescent="0.35">
      <c r="B72" s="27"/>
      <c r="C72" s="27"/>
      <c r="D72" s="27"/>
    </row>
    <row r="73" spans="2:4" x14ac:dyDescent="0.35">
      <c r="B73" s="27"/>
      <c r="C73" s="27"/>
      <c r="D73" s="27"/>
    </row>
    <row r="74" spans="2:4" x14ac:dyDescent="0.35">
      <c r="B74" s="27"/>
      <c r="C74" s="27"/>
      <c r="D74" s="27"/>
    </row>
    <row r="75" spans="2:4" x14ac:dyDescent="0.35">
      <c r="B75" s="27"/>
      <c r="C75" s="27"/>
      <c r="D75" s="27"/>
    </row>
    <row r="76" spans="2:4" x14ac:dyDescent="0.35">
      <c r="B76" s="27"/>
      <c r="C76" s="27"/>
      <c r="D76" s="27"/>
    </row>
    <row r="77" spans="2:4" x14ac:dyDescent="0.35">
      <c r="B77" s="27"/>
      <c r="C77" s="27"/>
      <c r="D77" s="27"/>
    </row>
    <row r="78" spans="2:4" x14ac:dyDescent="0.35">
      <c r="B78" s="27"/>
      <c r="C78" s="27"/>
      <c r="D78" s="27"/>
    </row>
    <row r="79" spans="2:4" x14ac:dyDescent="0.35">
      <c r="B79" s="27"/>
      <c r="C79" s="27"/>
      <c r="D79" s="27"/>
    </row>
    <row r="80" spans="2:4" x14ac:dyDescent="0.35">
      <c r="B80" s="27"/>
      <c r="C80" s="27"/>
      <c r="D80" s="27"/>
    </row>
    <row r="81" spans="2:4" x14ac:dyDescent="0.35">
      <c r="B81" s="27"/>
      <c r="C81" s="27"/>
      <c r="D81" s="27"/>
    </row>
    <row r="82" spans="2:4" x14ac:dyDescent="0.35">
      <c r="B82" s="27"/>
      <c r="C82" s="27"/>
      <c r="D82" s="27"/>
    </row>
    <row r="83" spans="2:4" x14ac:dyDescent="0.35">
      <c r="B83" s="27"/>
      <c r="C83" s="27"/>
      <c r="D83" s="27"/>
    </row>
    <row r="84" spans="2:4" x14ac:dyDescent="0.35">
      <c r="B84" s="27"/>
      <c r="C84" s="27"/>
      <c r="D84" s="27"/>
    </row>
    <row r="85" spans="2:4" x14ac:dyDescent="0.35">
      <c r="B85" s="27"/>
      <c r="C85" s="27"/>
      <c r="D85" s="27"/>
    </row>
    <row r="86" spans="2:4" x14ac:dyDescent="0.35">
      <c r="B86" s="27"/>
      <c r="C86" s="27"/>
      <c r="D86" s="27"/>
    </row>
    <row r="87" spans="2:4" x14ac:dyDescent="0.35">
      <c r="B87" s="27"/>
      <c r="C87" s="27"/>
      <c r="D87" s="27"/>
    </row>
    <row r="88" spans="2:4" x14ac:dyDescent="0.35">
      <c r="B88" s="27"/>
      <c r="C88" s="27"/>
      <c r="D88" s="27"/>
    </row>
    <row r="89" spans="2:4" x14ac:dyDescent="0.35">
      <c r="B89" s="27"/>
      <c r="C89" s="27"/>
      <c r="D89" s="27"/>
    </row>
    <row r="90" spans="2:4" x14ac:dyDescent="0.35">
      <c r="B90" s="27"/>
      <c r="C90" s="27"/>
      <c r="D90" s="27"/>
    </row>
    <row r="91" spans="2:4" x14ac:dyDescent="0.35">
      <c r="B91" s="27"/>
      <c r="C91" s="27"/>
      <c r="D91" s="27"/>
    </row>
    <row r="92" spans="2:4" x14ac:dyDescent="0.35">
      <c r="B92" s="27"/>
      <c r="C92" s="27"/>
      <c r="D92" s="27"/>
    </row>
    <row r="93" spans="2:4" x14ac:dyDescent="0.35">
      <c r="B93" s="27"/>
      <c r="C93" s="27"/>
      <c r="D93" s="27"/>
    </row>
    <row r="94" spans="2:4" x14ac:dyDescent="0.35">
      <c r="B94" s="27"/>
      <c r="C94" s="27"/>
      <c r="D94" s="27"/>
    </row>
    <row r="95" spans="2:4" x14ac:dyDescent="0.35">
      <c r="B95" s="27"/>
      <c r="C95" s="27"/>
      <c r="D95" s="27"/>
    </row>
    <row r="96" spans="2:4" x14ac:dyDescent="0.35">
      <c r="B96" s="27"/>
      <c r="C96" s="27"/>
      <c r="D96" s="27"/>
    </row>
    <row r="97" spans="2:4" x14ac:dyDescent="0.35">
      <c r="B97" s="27"/>
      <c r="C97" s="27"/>
      <c r="D97" s="27"/>
    </row>
    <row r="98" spans="2:4" x14ac:dyDescent="0.35">
      <c r="B98" s="27"/>
      <c r="C98" s="27"/>
      <c r="D98" s="27"/>
    </row>
    <row r="99" spans="2:4" x14ac:dyDescent="0.35">
      <c r="B99" s="27"/>
      <c r="C99" s="27"/>
      <c r="D99" s="27"/>
    </row>
    <row r="100" spans="2:4" x14ac:dyDescent="0.35">
      <c r="B100" s="27"/>
      <c r="C100" s="27"/>
      <c r="D100" s="27"/>
    </row>
    <row r="101" spans="2:4" x14ac:dyDescent="0.35">
      <c r="B101" s="27"/>
      <c r="C101" s="27"/>
      <c r="D101" s="27"/>
    </row>
    <row r="102" spans="2:4" x14ac:dyDescent="0.35">
      <c r="B102" s="27"/>
      <c r="C102" s="27"/>
      <c r="D102" s="27"/>
    </row>
    <row r="103" spans="2:4" x14ac:dyDescent="0.35">
      <c r="B103" s="27"/>
      <c r="C103" s="27"/>
      <c r="D103" s="27"/>
    </row>
    <row r="104" spans="2:4" x14ac:dyDescent="0.35">
      <c r="B104" s="27"/>
      <c r="C104" s="27"/>
      <c r="D104" s="27"/>
    </row>
    <row r="105" spans="2:4" x14ac:dyDescent="0.35">
      <c r="B105" s="27"/>
      <c r="C105" s="27"/>
      <c r="D105" s="27"/>
    </row>
    <row r="106" spans="2:4" x14ac:dyDescent="0.35">
      <c r="B106" s="27"/>
      <c r="C106" s="27"/>
      <c r="D106" s="27"/>
    </row>
    <row r="107" spans="2:4" x14ac:dyDescent="0.35">
      <c r="B107" s="27"/>
      <c r="C107" s="27"/>
      <c r="D107" s="27"/>
    </row>
    <row r="108" spans="2:4" x14ac:dyDescent="0.35">
      <c r="B108" s="27"/>
      <c r="C108" s="27"/>
      <c r="D108" s="27"/>
    </row>
    <row r="109" spans="2:4" x14ac:dyDescent="0.35">
      <c r="B109" s="27"/>
      <c r="C109" s="27"/>
      <c r="D109" s="27"/>
    </row>
    <row r="110" spans="2:4" x14ac:dyDescent="0.35">
      <c r="B110" s="27"/>
      <c r="C110" s="27"/>
      <c r="D110" s="27"/>
    </row>
    <row r="111" spans="2:4" x14ac:dyDescent="0.35">
      <c r="B111" s="27"/>
      <c r="C111" s="27"/>
      <c r="D111" s="27"/>
    </row>
    <row r="112" spans="2:4" x14ac:dyDescent="0.35">
      <c r="B112" s="27"/>
      <c r="C112" s="27"/>
    </row>
    <row r="113" spans="2:3" x14ac:dyDescent="0.35">
      <c r="B113" s="27"/>
      <c r="C113" s="2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D46"/>
  <sheetViews>
    <sheetView workbookViewId="0">
      <selection sqref="A1:D1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4" x14ac:dyDescent="0.35">
      <c r="A1" s="31" t="s">
        <v>18</v>
      </c>
      <c r="B1" s="31" t="s">
        <v>5</v>
      </c>
      <c r="C1" s="32" t="s">
        <v>16</v>
      </c>
      <c r="D1" s="31" t="s">
        <v>19</v>
      </c>
    </row>
    <row r="2" spans="1:4" x14ac:dyDescent="0.35">
      <c r="A2" s="29">
        <v>2025</v>
      </c>
      <c r="B2" s="30" cm="1">
        <f t="array" ref="B2">MuertesEnAnio("Masculino", A2, Hombres!$A$1:$DW$116, Mujeres!$A$1:$DW$116, 'Empleados activos'!$A$2:$E$225)</f>
        <v>0.19323800000000005</v>
      </c>
      <c r="C2" s="33" cm="1">
        <f t="array" ref="C2">MuertesEnAnio("Femenino", A2, Hombres!$A$1:$DW$116, Mujeres!$A$1:$DW$116, 'Empleados activos'!$A$2:$E$225)</f>
        <v>8.9534200000000022E-2</v>
      </c>
      <c r="D2" s="30">
        <f>C2+B2</f>
        <v>0.28277220000000008</v>
      </c>
    </row>
    <row r="3" spans="1:4" x14ac:dyDescent="0.35">
      <c r="A3" s="29">
        <f>A2+1</f>
        <v>2026</v>
      </c>
      <c r="B3" s="30" cm="1">
        <f t="array" ref="B3">MuertesEnAnio("Masculino", A3, Hombres!$A$1:$DW$116, Mujeres!$A$1:$DW$116, 'Empleados activos'!$A$2:$E$225)</f>
        <v>0.1998990241686</v>
      </c>
      <c r="C3" s="33" cm="1">
        <f t="array" ref="C3">MuertesEnAnio("Femenino", A3, Hombres!$A$1:$DW$116, Mujeres!$A$1:$DW$116, 'Empleados activos'!$A$2:$E$225)</f>
        <v>9.4347447068429971E-2</v>
      </c>
      <c r="D3" s="30">
        <f t="shared" ref="D3:D44" si="0">B3+C3</f>
        <v>0.29424647123702996</v>
      </c>
    </row>
    <row r="4" spans="1:4" x14ac:dyDescent="0.35">
      <c r="A4" s="29">
        <f t="shared" ref="A4:A46" si="1">A3+1</f>
        <v>2027</v>
      </c>
      <c r="B4" s="30" cm="1">
        <f t="array" ref="B4">MuertesEnAnio("Masculino", A4, Hombres!$A$1:$DW$116, Mujeres!$A$1:$DW$116, 'Empleados activos'!$A$2:$E$225)</f>
        <v>0.20771897222868219</v>
      </c>
      <c r="C4" s="33" cm="1">
        <f t="array" ref="C4">MuertesEnAnio("Femenino", A4, Hombres!$A$1:$DW$116, Mujeres!$A$1:$DW$116, 'Empleados activos'!$A$2:$E$225)</f>
        <v>9.9721951947737253E-2</v>
      </c>
      <c r="D4" s="30">
        <f t="shared" si="0"/>
        <v>0.30744092417641944</v>
      </c>
    </row>
    <row r="5" spans="1:4" x14ac:dyDescent="0.35">
      <c r="A5" s="29">
        <f t="shared" si="1"/>
        <v>2028</v>
      </c>
      <c r="B5" s="30" cm="1">
        <f t="array" ref="B5">MuertesEnAnio("Masculino", A5, Hombres!$A$1:$DW$116, Mujeres!$A$1:$DW$116, 'Empleados activos'!$A$2:$E$225)</f>
        <v>0.20560903663620569</v>
      </c>
      <c r="C5" s="33" cm="1">
        <f t="array" ref="C5">MuertesEnAnio("Femenino", A5, Hombres!$A$1:$DW$116, Mujeres!$A$1:$DW$116, 'Empleados activos'!$A$2:$E$225)</f>
        <v>0.1057857637161513</v>
      </c>
      <c r="D5" s="30">
        <f t="shared" si="0"/>
        <v>0.311394800352357</v>
      </c>
    </row>
    <row r="6" spans="1:4" x14ac:dyDescent="0.35">
      <c r="A6" s="29">
        <f t="shared" si="1"/>
        <v>2029</v>
      </c>
      <c r="B6" s="30" cm="1">
        <f t="array" ref="B6">MuertesEnAnio("Masculino", A6, Hombres!$A$1:$DW$116, Mujeres!$A$1:$DW$116, 'Empleados activos'!$A$2:$E$225)</f>
        <v>0.21507259202728848</v>
      </c>
      <c r="C6" s="33" cm="1">
        <f t="array" ref="C6">MuertesEnAnio("Femenino", A6, Hombres!$A$1:$DW$116, Mujeres!$A$1:$DW$116, 'Empleados activos'!$A$2:$E$225)</f>
        <v>0.11242703174942124</v>
      </c>
      <c r="D6" s="30">
        <f t="shared" si="0"/>
        <v>0.32749962377670971</v>
      </c>
    </row>
    <row r="7" spans="1:4" x14ac:dyDescent="0.35">
      <c r="A7" s="29">
        <f t="shared" si="1"/>
        <v>2030</v>
      </c>
      <c r="B7" s="30" cm="1">
        <f t="array" ref="B7">MuertesEnAnio("Masculino", A7, Hombres!$A$1:$DW$116, Mujeres!$A$1:$DW$116, 'Empleados activos'!$A$2:$E$225)</f>
        <v>0.22549448928936405</v>
      </c>
      <c r="C7" s="33" cm="1">
        <f t="array" ref="C7">MuertesEnAnio("Femenino", A7, Hombres!$A$1:$DW$116, Mujeres!$A$1:$DW$116, 'Empleados activos'!$A$2:$E$225)</f>
        <v>0.11446936516487094</v>
      </c>
      <c r="D7" s="30">
        <f t="shared" si="0"/>
        <v>0.33996385445423499</v>
      </c>
    </row>
    <row r="8" spans="1:4" x14ac:dyDescent="0.35">
      <c r="A8" s="29">
        <f t="shared" si="1"/>
        <v>2031</v>
      </c>
      <c r="B8" s="30" cm="1">
        <f t="array" ref="B8">MuertesEnAnio("Masculino", A8, Hombres!$A$1:$DW$116, Mujeres!$A$1:$DW$116, 'Empleados activos'!$A$2:$E$225)</f>
        <v>0.23711316789755452</v>
      </c>
      <c r="C8" s="33" cm="1">
        <f t="array" ref="C8">MuertesEnAnio("Femenino", A8, Hombres!$A$1:$DW$116, Mujeres!$A$1:$DW$116, 'Empleados activos'!$A$2:$E$225)</f>
        <v>0.11682631762070166</v>
      </c>
      <c r="D8" s="30">
        <f t="shared" si="0"/>
        <v>0.35393948551825616</v>
      </c>
    </row>
    <row r="9" spans="1:4" x14ac:dyDescent="0.35">
      <c r="A9" s="29">
        <f t="shared" si="1"/>
        <v>2032</v>
      </c>
      <c r="B9" s="30" cm="1">
        <f t="array" ref="B9">MuertesEnAnio("Masculino", A9, Hombres!$A$1:$DW$116, Mujeres!$A$1:$DW$116, 'Empleados activos'!$A$2:$E$225)</f>
        <v>0.2499978637677045</v>
      </c>
      <c r="C9" s="33" cm="1">
        <f t="array" ref="C9">MuertesEnAnio("Femenino", A9, Hombres!$A$1:$DW$116, Mujeres!$A$1:$DW$116, 'Empleados activos'!$A$2:$E$225)</f>
        <v>0.11962097295971981</v>
      </c>
      <c r="D9" s="30">
        <f t="shared" si="0"/>
        <v>0.36961883672742429</v>
      </c>
    </row>
    <row r="10" spans="1:4" x14ac:dyDescent="0.35">
      <c r="A10" s="29">
        <f t="shared" si="1"/>
        <v>2033</v>
      </c>
      <c r="B10" s="30" cm="1">
        <f t="array" ref="B10">MuertesEnAnio("Masculino", A10, Hombres!$A$1:$DW$116, Mujeres!$A$1:$DW$116, 'Empleados activos'!$A$2:$E$225)</f>
        <v>0.26398009237467934</v>
      </c>
      <c r="C10" s="33" cm="1">
        <f t="array" ref="C10">MuertesEnAnio("Femenino", A10, Hombres!$A$1:$DW$116, Mujeres!$A$1:$DW$116, 'Empleados activos'!$A$2:$E$225)</f>
        <v>0.1276263167461093</v>
      </c>
      <c r="D10" s="30">
        <f t="shared" si="0"/>
        <v>0.39160640912078865</v>
      </c>
    </row>
    <row r="11" spans="1:4" x14ac:dyDescent="0.35">
      <c r="A11" s="29">
        <f t="shared" si="1"/>
        <v>2034</v>
      </c>
      <c r="B11" s="30" cm="1">
        <f t="array" ref="B11">MuertesEnAnio("Masculino", A11, Hombres!$A$1:$DW$116, Mujeres!$A$1:$DW$116, 'Empleados activos'!$A$2:$E$225)</f>
        <v>0.2786115573295283</v>
      </c>
      <c r="C11" s="33" cm="1">
        <f t="array" ref="C11">MuertesEnAnio("Femenino", A11, Hombres!$A$1:$DW$116, Mujeres!$A$1:$DW$116, 'Empleados activos'!$A$2:$E$225)</f>
        <v>0.13154013568333747</v>
      </c>
      <c r="D11" s="30">
        <f t="shared" si="0"/>
        <v>0.4101516930128658</v>
      </c>
    </row>
    <row r="12" spans="1:4" x14ac:dyDescent="0.35">
      <c r="A12" s="29">
        <f t="shared" si="1"/>
        <v>2035</v>
      </c>
      <c r="B12" s="30" cm="1">
        <f t="array" ref="B12">MuertesEnAnio("Masculino", A12, Hombres!$A$1:$DW$116, Mujeres!$A$1:$DW$116, 'Empleados activos'!$A$2:$E$225)</f>
        <v>0.29404480698565955</v>
      </c>
      <c r="C12" s="33" cm="1">
        <f t="array" ref="C12">MuertesEnAnio("Femenino", A12, Hombres!$A$1:$DW$116, Mujeres!$A$1:$DW$116, 'Empleados activos'!$A$2:$E$225)</f>
        <v>0.14032690504477596</v>
      </c>
      <c r="D12" s="30">
        <f t="shared" si="0"/>
        <v>0.43437171203043551</v>
      </c>
    </row>
    <row r="13" spans="1:4" x14ac:dyDescent="0.35">
      <c r="A13" s="29">
        <f t="shared" si="1"/>
        <v>2036</v>
      </c>
      <c r="B13" s="30" cm="1">
        <f t="array" ref="B13">MuertesEnAnio("Masculino", A13, Hombres!$A$1:$DW$116, Mujeres!$A$1:$DW$116, 'Empleados activos'!$A$2:$E$225)</f>
        <v>0.30112836206725918</v>
      </c>
      <c r="C13" s="33" cm="1">
        <f t="array" ref="C13">MuertesEnAnio("Femenino", A13, Hombres!$A$1:$DW$116, Mujeres!$A$1:$DW$116, 'Empleados activos'!$A$2:$E$225)</f>
        <v>0.14995877496956822</v>
      </c>
      <c r="D13" s="30">
        <f t="shared" si="0"/>
        <v>0.4510871370368274</v>
      </c>
    </row>
    <row r="14" spans="1:4" x14ac:dyDescent="0.35">
      <c r="A14" s="29">
        <f t="shared" si="1"/>
        <v>2037</v>
      </c>
      <c r="B14" s="30" cm="1">
        <f t="array" ref="B14">MuertesEnAnio("Masculino", A14, Hombres!$A$1:$DW$116, Mujeres!$A$1:$DW$116, 'Empleados activos'!$A$2:$E$225)</f>
        <v>0.31950269994727121</v>
      </c>
      <c r="C14" s="33" cm="1">
        <f t="array" ref="C14">MuertesEnAnio("Femenino", A14, Hombres!$A$1:$DW$116, Mujeres!$A$1:$DW$116, 'Empleados activos'!$A$2:$E$225)</f>
        <v>0.15623888051765994</v>
      </c>
      <c r="D14" s="30">
        <f t="shared" si="0"/>
        <v>0.47574158046493115</v>
      </c>
    </row>
    <row r="15" spans="1:4" x14ac:dyDescent="0.35">
      <c r="A15" s="29">
        <f t="shared" si="1"/>
        <v>2038</v>
      </c>
      <c r="B15" s="30" cm="1">
        <f t="array" ref="B15">MuertesEnAnio("Masculino", A15, Hombres!$A$1:$DW$116, Mujeres!$A$1:$DW$116, 'Empleados activos'!$A$2:$E$225)</f>
        <v>0.33080243518451363</v>
      </c>
      <c r="C15" s="33" cm="1">
        <f t="array" ref="C15">MuertesEnAnio("Femenino", A15, Hombres!$A$1:$DW$116, Mujeres!$A$1:$DW$116, 'Empleados activos'!$A$2:$E$225)</f>
        <v>0.15905467919490493</v>
      </c>
      <c r="D15" s="30">
        <f t="shared" si="0"/>
        <v>0.48985711437941859</v>
      </c>
    </row>
    <row r="16" spans="1:4" x14ac:dyDescent="0.35">
      <c r="A16" s="29">
        <f t="shared" si="1"/>
        <v>2039</v>
      </c>
      <c r="B16" s="30" cm="1">
        <f t="array" ref="B16">MuertesEnAnio("Masculino", A16, Hombres!$A$1:$DW$116, Mujeres!$A$1:$DW$116, 'Empleados activos'!$A$2:$E$225)</f>
        <v>0.32489606018738859</v>
      </c>
      <c r="C16" s="33" cm="1">
        <f t="array" ref="C16">MuertesEnAnio("Femenino", A16, Hombres!$A$1:$DW$116, Mujeres!$A$1:$DW$116, 'Empleados activos'!$A$2:$E$225)</f>
        <v>0.15801485328140771</v>
      </c>
      <c r="D16" s="30">
        <f t="shared" si="0"/>
        <v>0.48291091346879633</v>
      </c>
    </row>
    <row r="17" spans="1:4" x14ac:dyDescent="0.35">
      <c r="A17" s="29">
        <f t="shared" si="1"/>
        <v>2040</v>
      </c>
      <c r="B17" s="30" cm="1">
        <f t="array" ref="B17">MuertesEnAnio("Masculino", A17, Hombres!$A$1:$DW$116, Mujeres!$A$1:$DW$116, 'Empleados activos'!$A$2:$E$225)</f>
        <v>0.3094558703693438</v>
      </c>
      <c r="C17" s="33" cm="1">
        <f t="array" ref="C17">MuertesEnAnio("Femenino", A17, Hombres!$A$1:$DW$116, Mujeres!$A$1:$DW$116, 'Empleados activos'!$A$2:$E$225)</f>
        <v>0.15705648920302864</v>
      </c>
      <c r="D17" s="30">
        <f t="shared" si="0"/>
        <v>0.46651235957237247</v>
      </c>
    </row>
    <row r="18" spans="1:4" x14ac:dyDescent="0.35">
      <c r="A18" s="29">
        <f t="shared" si="1"/>
        <v>2041</v>
      </c>
      <c r="B18" s="30" cm="1">
        <f t="array" ref="B18">MuertesEnAnio("Masculino", A18, Hombres!$A$1:$DW$116, Mujeres!$A$1:$DW$116, 'Empleados activos'!$A$2:$E$225)</f>
        <v>0.3201496880478471</v>
      </c>
      <c r="C18" s="33" cm="1">
        <f t="array" ref="C18">MuertesEnAnio("Femenino", A18, Hombres!$A$1:$DW$116, Mujeres!$A$1:$DW$116, 'Empleados activos'!$A$2:$E$225)</f>
        <v>0.1604350534764569</v>
      </c>
      <c r="D18" s="30">
        <f t="shared" si="0"/>
        <v>0.48058474152430397</v>
      </c>
    </row>
    <row r="19" spans="1:4" x14ac:dyDescent="0.35">
      <c r="A19" s="29">
        <f t="shared" si="1"/>
        <v>2042</v>
      </c>
      <c r="B19" s="30" cm="1">
        <f t="array" ref="B19">MuertesEnAnio("Masculino", A19, Hombres!$A$1:$DW$116, Mujeres!$A$1:$DW$116, 'Empleados activos'!$A$2:$E$225)</f>
        <v>0.31351675658869504</v>
      </c>
      <c r="C19" s="33" cm="1">
        <f t="array" ref="C19">MuertesEnAnio("Femenino", A19, Hombres!$A$1:$DW$116, Mujeres!$A$1:$DW$116, 'Empleados activos'!$A$2:$E$225)</f>
        <v>0.15643061638507208</v>
      </c>
      <c r="D19" s="30">
        <f t="shared" si="0"/>
        <v>0.4699473729737671</v>
      </c>
    </row>
    <row r="20" spans="1:4" x14ac:dyDescent="0.35">
      <c r="A20" s="29">
        <f t="shared" si="1"/>
        <v>2043</v>
      </c>
      <c r="B20" s="30" cm="1">
        <f t="array" ref="B20">MuertesEnAnio("Masculino", A20, Hombres!$A$1:$DW$116, Mujeres!$A$1:$DW$116, 'Empleados activos'!$A$2:$E$225)</f>
        <v>0.33323505605626375</v>
      </c>
      <c r="C20" s="33" cm="1">
        <f t="array" ref="C20">MuertesEnAnio("Femenino", A20, Hombres!$A$1:$DW$116, Mujeres!$A$1:$DW$116, 'Empleados activos'!$A$2:$E$225)</f>
        <v>0.14848836585187364</v>
      </c>
      <c r="D20" s="30">
        <f t="shared" si="0"/>
        <v>0.48172342190813738</v>
      </c>
    </row>
    <row r="21" spans="1:4" x14ac:dyDescent="0.35">
      <c r="A21" s="29">
        <f t="shared" si="1"/>
        <v>2044</v>
      </c>
      <c r="B21" s="30" cm="1">
        <f t="array" ref="B21">MuertesEnAnio("Masculino", A21, Hombres!$A$1:$DW$116, Mujeres!$A$1:$DW$116, 'Empleados activos'!$A$2:$E$225)</f>
        <v>0.32834337090758686</v>
      </c>
      <c r="C21" s="33" cm="1">
        <f t="array" ref="C21">MuertesEnAnio("Femenino", A21, Hombres!$A$1:$DW$116, Mujeres!$A$1:$DW$116, 'Empleados activos'!$A$2:$E$225)</f>
        <v>0.15176877189585025</v>
      </c>
      <c r="D21" s="30">
        <f t="shared" si="0"/>
        <v>0.48011214280343711</v>
      </c>
    </row>
    <row r="22" spans="1:4" x14ac:dyDescent="0.35">
      <c r="A22" s="29">
        <f t="shared" si="1"/>
        <v>2045</v>
      </c>
      <c r="B22" s="30" cm="1">
        <f t="array" ref="B22">MuertesEnAnio("Masculino", A22, Hombres!$A$1:$DW$116, Mujeres!$A$1:$DW$116, 'Empleados activos'!$A$2:$E$225)</f>
        <v>0.34131871923015294</v>
      </c>
      <c r="C22" s="33" cm="1">
        <f t="array" ref="C22">MuertesEnAnio("Femenino", A22, Hombres!$A$1:$DW$116, Mujeres!$A$1:$DW$116, 'Empleados activos'!$A$2:$E$225)</f>
        <v>0.14780138616103108</v>
      </c>
      <c r="D22" s="30">
        <f t="shared" si="0"/>
        <v>0.489120105391184</v>
      </c>
    </row>
    <row r="23" spans="1:4" x14ac:dyDescent="0.35">
      <c r="A23" s="29">
        <f t="shared" si="1"/>
        <v>2046</v>
      </c>
      <c r="B23" s="30" cm="1">
        <f t="array" ref="B23">MuertesEnAnio("Masculino", A23, Hombres!$A$1:$DW$116, Mujeres!$A$1:$DW$116, 'Empleados activos'!$A$2:$E$225)</f>
        <v>0.30551937262694218</v>
      </c>
      <c r="C23" s="33" cm="1">
        <f t="array" ref="C23">MuertesEnAnio("Femenino", A23, Hombres!$A$1:$DW$116, Mujeres!$A$1:$DW$116, 'Empleados activos'!$A$2:$E$225)</f>
        <v>0.14774495702049839</v>
      </c>
      <c r="D23" s="30">
        <f t="shared" si="0"/>
        <v>0.45326432964744057</v>
      </c>
    </row>
    <row r="24" spans="1:4" x14ac:dyDescent="0.35">
      <c r="A24" s="29">
        <f t="shared" si="1"/>
        <v>2047</v>
      </c>
      <c r="B24" s="30" cm="1">
        <f t="array" ref="B24">MuertesEnAnio("Masculino", A24, Hombres!$A$1:$DW$116, Mujeres!$A$1:$DW$116, 'Empleados activos'!$A$2:$E$225)</f>
        <v>0.31976371793206243</v>
      </c>
      <c r="C24" s="33" cm="1">
        <f t="array" ref="C24">MuertesEnAnio("Femenino", A24, Hombres!$A$1:$DW$116, Mujeres!$A$1:$DW$116, 'Empleados activos'!$A$2:$E$225)</f>
        <v>0.15193227274962406</v>
      </c>
      <c r="D24" s="30">
        <f t="shared" si="0"/>
        <v>0.47169599068168649</v>
      </c>
    </row>
    <row r="25" spans="1:4" x14ac:dyDescent="0.35">
      <c r="A25" s="29">
        <f t="shared" si="1"/>
        <v>2048</v>
      </c>
      <c r="B25" s="30" cm="1">
        <f t="array" ref="B25">MuertesEnAnio("Masculino", A25, Hombres!$A$1:$DW$116, Mujeres!$A$1:$DW$116, 'Empleados activos'!$A$2:$E$225)</f>
        <v>0.33620446076284061</v>
      </c>
      <c r="C25" s="33" cm="1">
        <f t="array" ref="C25">MuertesEnAnio("Femenino", A25, Hombres!$A$1:$DW$116, Mujeres!$A$1:$DW$116, 'Empleados activos'!$A$2:$E$225)</f>
        <v>0.13882605463139988</v>
      </c>
      <c r="D25" s="30">
        <f t="shared" si="0"/>
        <v>0.47503051539424046</v>
      </c>
    </row>
    <row r="26" spans="1:4" x14ac:dyDescent="0.35">
      <c r="A26" s="29">
        <f t="shared" si="1"/>
        <v>2049</v>
      </c>
      <c r="B26" s="30" cm="1">
        <f t="array" ref="B26">MuertesEnAnio("Masculino", A26, Hombres!$A$1:$DW$116, Mujeres!$A$1:$DW$116, 'Empleados activos'!$A$2:$E$225)</f>
        <v>0.35409439288274275</v>
      </c>
      <c r="C26" s="33" cm="1">
        <f t="array" ref="C26">MuertesEnAnio("Femenino", A26, Hombres!$A$1:$DW$116, Mujeres!$A$1:$DW$116, 'Empleados activos'!$A$2:$E$225)</f>
        <v>0.12123161530595167</v>
      </c>
      <c r="D26" s="30">
        <f t="shared" si="0"/>
        <v>0.47532600818869442</v>
      </c>
    </row>
    <row r="27" spans="1:4" x14ac:dyDescent="0.35">
      <c r="A27" s="29">
        <f t="shared" si="1"/>
        <v>2050</v>
      </c>
      <c r="B27" s="30" cm="1">
        <f t="array" ref="B27">MuertesEnAnio("Masculino", A27, Hombres!$A$1:$DW$116, Mujeres!$A$1:$DW$116, 'Empleados activos'!$A$2:$E$225)</f>
        <v>0.36428345508742516</v>
      </c>
      <c r="C27" s="33" cm="1">
        <f t="array" ref="C27">MuertesEnAnio("Femenino", A27, Hombres!$A$1:$DW$116, Mujeres!$A$1:$DW$116, 'Empleados activos'!$A$2:$E$225)</f>
        <v>0.12331185690072594</v>
      </c>
      <c r="D27" s="30">
        <f t="shared" si="0"/>
        <v>0.48759531198815109</v>
      </c>
    </row>
    <row r="28" spans="1:4" x14ac:dyDescent="0.35">
      <c r="A28" s="29">
        <f t="shared" si="1"/>
        <v>2051</v>
      </c>
      <c r="B28" s="30" cm="1">
        <f t="array" ref="B28">MuertesEnAnio("Masculino", A28, Hombres!$A$1:$DW$116, Mujeres!$A$1:$DW$116, 'Empleados activos'!$A$2:$E$225)</f>
        <v>0.37429102267151054</v>
      </c>
      <c r="C28" s="33" cm="1">
        <f t="array" ref="C28">MuertesEnAnio("Femenino", A28, Hombres!$A$1:$DW$116, Mujeres!$A$1:$DW$116, 'Empleados activos'!$A$2:$E$225)</f>
        <v>0.11564835500768389</v>
      </c>
      <c r="D28" s="30">
        <f t="shared" si="0"/>
        <v>0.48993937767919443</v>
      </c>
    </row>
    <row r="29" spans="1:4" x14ac:dyDescent="0.35">
      <c r="A29" s="29">
        <f t="shared" si="1"/>
        <v>2052</v>
      </c>
      <c r="B29" s="30" cm="1">
        <f t="array" ref="B29">MuertesEnAnio("Masculino", A29, Hombres!$A$1:$DW$116, Mujeres!$A$1:$DW$116, 'Empleados activos'!$A$2:$E$225)</f>
        <v>0.36102300601218257</v>
      </c>
      <c r="C29" s="33" cm="1">
        <f t="array" ref="C29">MuertesEnAnio("Femenino", A29, Hombres!$A$1:$DW$116, Mujeres!$A$1:$DW$116, 'Empleados activos'!$A$2:$E$225)</f>
        <v>0.11139487107952849</v>
      </c>
      <c r="D29" s="30">
        <f t="shared" si="0"/>
        <v>0.47241787709171107</v>
      </c>
    </row>
    <row r="30" spans="1:4" x14ac:dyDescent="0.35">
      <c r="A30" s="29">
        <f t="shared" si="1"/>
        <v>2053</v>
      </c>
      <c r="B30" s="30" cm="1">
        <f t="array" ref="B30">MuertesEnAnio("Masculino", A30, Hombres!$A$1:$DW$116, Mujeres!$A$1:$DW$116, 'Empleados activos'!$A$2:$E$225)</f>
        <v>0.3470507073965422</v>
      </c>
      <c r="C30" s="33" cm="1">
        <f t="array" ref="C30">MuertesEnAnio("Femenino", A30, Hombres!$A$1:$DW$116, Mujeres!$A$1:$DW$116, 'Empleados activos'!$A$2:$E$225)</f>
        <v>0.10411175867155574</v>
      </c>
      <c r="D30" s="30">
        <f t="shared" si="0"/>
        <v>0.45116246606809796</v>
      </c>
    </row>
    <row r="31" spans="1:4" x14ac:dyDescent="0.35">
      <c r="A31" s="29">
        <f t="shared" si="1"/>
        <v>2054</v>
      </c>
      <c r="B31" s="30" cm="1">
        <f t="array" ref="B31">MuertesEnAnio("Masculino", A31, Hombres!$A$1:$DW$116, Mujeres!$A$1:$DW$116, 'Empleados activos'!$A$2:$E$225)</f>
        <v>0.30928067060899633</v>
      </c>
      <c r="C31" s="33" cm="1">
        <f t="array" ref="C31">MuertesEnAnio("Femenino", A31, Hombres!$A$1:$DW$116, Mujeres!$A$1:$DW$116, 'Empleados activos'!$A$2:$E$225)</f>
        <v>9.3430263212814127E-2</v>
      </c>
      <c r="D31" s="30">
        <f t="shared" si="0"/>
        <v>0.40271093382181045</v>
      </c>
    </row>
    <row r="32" spans="1:4" x14ac:dyDescent="0.35">
      <c r="A32" s="29">
        <f t="shared" si="1"/>
        <v>2055</v>
      </c>
      <c r="B32" s="30" cm="1">
        <f t="array" ref="B32">MuertesEnAnio("Masculino", A32, Hombres!$A$1:$DW$116, Mujeres!$A$1:$DW$116, 'Empleados activos'!$A$2:$E$225)</f>
        <v>0.2622067693793092</v>
      </c>
      <c r="C32" s="33" cm="1">
        <f t="array" ref="C32">MuertesEnAnio("Femenino", A32, Hombres!$A$1:$DW$116, Mujeres!$A$1:$DW$116, 'Empleados activos'!$A$2:$E$225)</f>
        <v>6.6274835073380112E-2</v>
      </c>
      <c r="D32" s="30">
        <f t="shared" si="0"/>
        <v>0.32848160445268931</v>
      </c>
    </row>
    <row r="33" spans="1:4" x14ac:dyDescent="0.35">
      <c r="A33" s="29">
        <f t="shared" si="1"/>
        <v>2056</v>
      </c>
      <c r="B33" s="30" cm="1">
        <f t="array" ref="B33">MuertesEnAnio("Masculino", A33, Hombres!$A$1:$DW$116, Mujeres!$A$1:$DW$116, 'Empleados activos'!$A$2:$E$225)</f>
        <v>0.18316534373655033</v>
      </c>
      <c r="C33" s="33" cm="1">
        <f t="array" ref="C33">MuertesEnAnio("Femenino", A33, Hombres!$A$1:$DW$116, Mujeres!$A$1:$DW$116, 'Empleados activos'!$A$2:$E$225)</f>
        <v>6.2362035427638018E-2</v>
      </c>
      <c r="D33" s="30">
        <f t="shared" si="0"/>
        <v>0.24552737916418835</v>
      </c>
    </row>
    <row r="34" spans="1:4" x14ac:dyDescent="0.35">
      <c r="A34" s="29">
        <f t="shared" si="1"/>
        <v>2057</v>
      </c>
      <c r="B34" s="30" cm="1">
        <f t="array" ref="B34">MuertesEnAnio("Masculino", A34, Hombres!$A$1:$DW$116, Mujeres!$A$1:$DW$116, 'Empleados activos'!$A$2:$E$225)</f>
        <v>0.1595417440243489</v>
      </c>
      <c r="C34" s="33" cm="1">
        <f t="array" ref="C34">MuertesEnAnio("Femenino", A34, Hombres!$A$1:$DW$116, Mujeres!$A$1:$DW$116, 'Empleados activos'!$A$2:$E$225)</f>
        <v>5.2344866188113882E-2</v>
      </c>
      <c r="D34" s="30">
        <f t="shared" si="0"/>
        <v>0.21188661021246277</v>
      </c>
    </row>
    <row r="35" spans="1:4" x14ac:dyDescent="0.35">
      <c r="A35" s="29">
        <f t="shared" si="1"/>
        <v>2058</v>
      </c>
      <c r="B35" s="30" cm="1">
        <f t="array" ref="B35">MuertesEnAnio("Masculino", A35, Hombres!$A$1:$DW$116, Mujeres!$A$1:$DW$116, 'Empleados activos'!$A$2:$E$225)</f>
        <v>0.14199783041295588</v>
      </c>
      <c r="C35" s="33" cm="1">
        <f t="array" ref="C35">MuertesEnAnio("Femenino", A35, Hombres!$A$1:$DW$116, Mujeres!$A$1:$DW$116, 'Empleados activos'!$A$2:$E$225)</f>
        <v>4.1811050885248127E-2</v>
      </c>
      <c r="D35" s="30">
        <f t="shared" si="0"/>
        <v>0.183808881298204</v>
      </c>
    </row>
    <row r="36" spans="1:4" x14ac:dyDescent="0.35">
      <c r="A36" s="29">
        <f t="shared" si="1"/>
        <v>2059</v>
      </c>
      <c r="B36" s="30" cm="1">
        <f t="array" ref="B36">MuertesEnAnio("Masculino", A36, Hombres!$A$1:$DW$116, Mujeres!$A$1:$DW$116, 'Empleados activos'!$A$2:$E$225)</f>
        <v>0.12339157178721487</v>
      </c>
      <c r="C36" s="33" cm="1">
        <f t="array" ref="C36">MuertesEnAnio("Femenino", A36, Hombres!$A$1:$DW$116, Mujeres!$A$1:$DW$116, 'Empleados activos'!$A$2:$E$225)</f>
        <v>2.7673352885064673E-2</v>
      </c>
      <c r="D36" s="30">
        <f t="shared" si="0"/>
        <v>0.15106492467227955</v>
      </c>
    </row>
    <row r="37" spans="1:4" x14ac:dyDescent="0.35">
      <c r="A37" s="29">
        <f t="shared" si="1"/>
        <v>2060</v>
      </c>
      <c r="B37" s="30" cm="1">
        <f t="array" ref="B37">MuertesEnAnio("Masculino", A37, Hombres!$A$1:$DW$116, Mujeres!$A$1:$DW$116, 'Empleados activos'!$A$2:$E$225)</f>
        <v>0.11067227058908664</v>
      </c>
      <c r="C37" s="33" cm="1">
        <f t="array" ref="C37">MuertesEnAnio("Femenino", A37, Hombres!$A$1:$DW$116, Mujeres!$A$1:$DW$116, 'Empleados activos'!$A$2:$E$225)</f>
        <v>2.7162207387590811E-2</v>
      </c>
      <c r="D37" s="30">
        <f t="shared" si="0"/>
        <v>0.13783447797667744</v>
      </c>
    </row>
    <row r="38" spans="1:4" x14ac:dyDescent="0.35">
      <c r="A38" s="29">
        <f t="shared" si="1"/>
        <v>2061</v>
      </c>
      <c r="B38" s="30" cm="1">
        <f t="array" ref="B38">MuertesEnAnio("Masculino", A38, Hombres!$A$1:$DW$116, Mujeres!$A$1:$DW$116, 'Empleados activos'!$A$2:$E$225)</f>
        <v>0.11128341947004566</v>
      </c>
      <c r="C38" s="33" cm="1">
        <f t="array" ref="C38">MuertesEnAnio("Femenino", A38, Hombres!$A$1:$DW$116, Mujeres!$A$1:$DW$116, 'Empleados activos'!$A$2:$E$225)</f>
        <v>1.8275156774747378E-2</v>
      </c>
      <c r="D38" s="30">
        <f t="shared" si="0"/>
        <v>0.12955857624479306</v>
      </c>
    </row>
    <row r="39" spans="1:4" x14ac:dyDescent="0.35">
      <c r="A39" s="29">
        <f t="shared" si="1"/>
        <v>2062</v>
      </c>
      <c r="B39" s="30" cm="1">
        <f t="array" ref="B39">MuertesEnAnio("Masculino", A39, Hombres!$A$1:$DW$116, Mujeres!$A$1:$DW$116, 'Empleados activos'!$A$2:$E$225)</f>
        <v>9.8030458463202311E-2</v>
      </c>
      <c r="C39" s="33" cm="1">
        <f t="array" ref="C39">MuertesEnAnio("Femenino", A39, Hombres!$A$1:$DW$116, Mujeres!$A$1:$DW$116, 'Empleados activos'!$A$2:$E$225)</f>
        <v>1.4459390874894626E-2</v>
      </c>
      <c r="D39" s="30">
        <f t="shared" si="0"/>
        <v>0.11248984933809694</v>
      </c>
    </row>
    <row r="40" spans="1:4" x14ac:dyDescent="0.35">
      <c r="A40" s="29">
        <f t="shared" si="1"/>
        <v>2063</v>
      </c>
      <c r="B40" s="30" cm="1">
        <f t="array" ref="B40">MuertesEnAnio("Masculino", A40, Hombres!$A$1:$DW$116, Mujeres!$A$1:$DW$116, 'Empleados activos'!$A$2:$E$225)</f>
        <v>4.9514800827652923E-2</v>
      </c>
      <c r="C40" s="33" cm="1">
        <f t="array" ref="C40">MuertesEnAnio("Femenino", A40, Hombres!$A$1:$DW$116, Mujeres!$A$1:$DW$116, 'Empleados activos'!$A$2:$E$225)</f>
        <v>4.9129721239225335E-3</v>
      </c>
      <c r="D40" s="30">
        <f t="shared" si="0"/>
        <v>5.4427772951575457E-2</v>
      </c>
    </row>
    <row r="41" spans="1:4" x14ac:dyDescent="0.35">
      <c r="A41" s="29">
        <f t="shared" si="1"/>
        <v>2064</v>
      </c>
      <c r="B41" s="30" cm="1">
        <f t="array" ref="B41">MuertesEnAnio("Masculino", A41, Hombres!$A$1:$DW$116, Mujeres!$A$1:$DW$116, 'Empleados activos'!$A$2:$E$225)</f>
        <v>3.9226563921301895E-2</v>
      </c>
      <c r="C41" s="33" cm="1">
        <f t="array" ref="C41">MuertesEnAnio("Femenino", A41, Hombres!$A$1:$DW$116, Mujeres!$A$1:$DW$116, 'Empleados activos'!$A$2:$E$225)</f>
        <v>0</v>
      </c>
      <c r="D41" s="30">
        <f t="shared" si="0"/>
        <v>3.9226563921301895E-2</v>
      </c>
    </row>
    <row r="42" spans="1:4" x14ac:dyDescent="0.35">
      <c r="A42" s="29">
        <f t="shared" si="1"/>
        <v>2065</v>
      </c>
      <c r="B42" s="30" cm="1">
        <f t="array" ref="B42">MuertesEnAnio("Masculino", A42, Hombres!$A$1:$DW$116, Mujeres!$A$1:$DW$116, 'Empleados activos'!$A$2:$E$225)</f>
        <v>2.8279421111126211E-2</v>
      </c>
      <c r="C42" s="33" cm="1">
        <f t="array" ref="C42">MuertesEnAnio("Femenino", A42, Hombres!$A$1:$DW$116, Mujeres!$A$1:$DW$116, 'Empleados activos'!$A$2:$E$225)</f>
        <v>0</v>
      </c>
      <c r="D42" s="30">
        <f t="shared" si="0"/>
        <v>2.8279421111126211E-2</v>
      </c>
    </row>
    <row r="43" spans="1:4" x14ac:dyDescent="0.35">
      <c r="A43" s="29">
        <f t="shared" si="1"/>
        <v>2066</v>
      </c>
      <c r="B43" s="30" cm="1">
        <f t="array" ref="B43">MuertesEnAnio("Masculino", A43, Hombres!$A$1:$DW$116, Mujeres!$A$1:$DW$116, 'Empleados activos'!$A$2:$E$225)</f>
        <v>2.338661421117472E-2</v>
      </c>
      <c r="C43" s="33" cm="1">
        <f t="array" ref="C43">MuertesEnAnio("Femenino", A43, Hombres!$A$1:$DW$116, Mujeres!$A$1:$DW$116, 'Empleados activos'!$A$2:$E$225)</f>
        <v>0</v>
      </c>
      <c r="D43" s="30">
        <f t="shared" si="0"/>
        <v>2.338661421117472E-2</v>
      </c>
    </row>
    <row r="44" spans="1:4" x14ac:dyDescent="0.35">
      <c r="A44" s="29">
        <f t="shared" si="1"/>
        <v>2067</v>
      </c>
      <c r="B44" s="30" cm="1">
        <f t="array" ref="B44">MuertesEnAnio("Masculino", A44, Hombres!$A$1:$DW$116, Mujeres!$A$1:$DW$116, 'Empleados activos'!$A$2:$E$225)</f>
        <v>1.8322061029764063E-2</v>
      </c>
      <c r="C44" s="33" cm="1">
        <f t="array" ref="C44">MuertesEnAnio("Femenino", A44, Hombres!$A$1:$DW$116, Mujeres!$A$1:$DW$116, 'Empleados activos'!$A$2:$E$225)</f>
        <v>0</v>
      </c>
      <c r="D44" s="30">
        <f t="shared" si="0"/>
        <v>1.8322061029764063E-2</v>
      </c>
    </row>
    <row r="45" spans="1:4" x14ac:dyDescent="0.35">
      <c r="A45" s="29">
        <f t="shared" si="1"/>
        <v>2068</v>
      </c>
      <c r="B45" s="30" cm="1">
        <f t="array" ref="B45">MuertesEnAnio("Masculino", A45, Hombres!$A$1:$DW$116, Mujeres!$A$1:$DW$116, 'Empleados activos'!$A$2:$E$225)</f>
        <v>0</v>
      </c>
      <c r="C45" s="33" cm="1">
        <f t="array" ref="C45">MuertesEnAnio("Femenino", A45, Hombres!$A$1:$DW$116, Mujeres!$A$1:$DW$116, 'Empleados activos'!$A$2:$E$225)</f>
        <v>0</v>
      </c>
      <c r="D45" s="30">
        <f>B45+C45</f>
        <v>0</v>
      </c>
    </row>
    <row r="46" spans="1:4" x14ac:dyDescent="0.35">
      <c r="A46" s="29">
        <f t="shared" si="1"/>
        <v>2069</v>
      </c>
      <c r="B46" s="30" cm="1">
        <f t="array" ref="B46">MuertesEnAnio("Masculino", A46, Hombres!$A$1:$DW$116, Mujeres!$A$1:$DW$116, 'Empleados activos'!$A$2:$E$225)</f>
        <v>0</v>
      </c>
      <c r="C46" s="33" cm="1">
        <f t="array" ref="C46">MuertesEnAnio("Femenino", A46, Hombres!$A$1:$DW$116, Mujeres!$A$1:$DW$116, 'Empleados activos'!$A$2:$E$225)</f>
        <v>0</v>
      </c>
      <c r="D46" s="30">
        <f t="shared" ref="D46" si="2">B46+C46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abSelected="1" workbookViewId="0">
      <selection activeCell="I27" sqref="I27"/>
    </sheetView>
  </sheetViews>
  <sheetFormatPr baseColWidth="10" defaultRowHeight="14.5" x14ac:dyDescent="0.35"/>
  <cols>
    <col min="4" max="4" width="17.6328125" customWidth="1"/>
  </cols>
  <sheetData>
    <row r="1" spans="1:4" x14ac:dyDescent="0.35">
      <c r="A1" s="31" t="s">
        <v>18</v>
      </c>
      <c r="B1" s="31" t="s">
        <v>5</v>
      </c>
      <c r="C1" s="32" t="s">
        <v>22</v>
      </c>
      <c r="D1" s="31" t="s">
        <v>20</v>
      </c>
    </row>
    <row r="2" spans="1:4" x14ac:dyDescent="0.35">
      <c r="A2">
        <v>2025</v>
      </c>
      <c r="B2" cm="1">
        <f t="array" ref="B2">ProbPensionadoEnAnio("Masculino",A2,Hombres!$A$1:$DW$225,Mujeres!$A$1:$DW$117,Pensionados!$A$2:$G$166,'Empleados activos'!$A$2:$I$225)</f>
        <v>74</v>
      </c>
      <c r="C2" cm="1">
        <f t="array" ref="C2">ProbPensionadoEnAnio("Femenino",A2,Hombres!$A$1:$DW$225,Mujeres!$A$1:$DW$117,Pensionados!$A$2:$G$166,'Empleados activos'!$A$2:$I$225)</f>
        <v>91</v>
      </c>
      <c r="D2">
        <f>B2+C2</f>
        <v>165</v>
      </c>
    </row>
    <row r="3" spans="1:4" x14ac:dyDescent="0.35">
      <c r="A3">
        <f>A2+1</f>
        <v>2026</v>
      </c>
      <c r="B3" cm="1">
        <f t="array" ref="B3">ProbPensionadoEnAnio("Masculino",A3,Hombres!$A$1:$DW$225,Mujeres!$A$1:$DW$117,Pensionados!$A$2:$G$166,'Empleados activos'!$A$2:$I$225)</f>
        <v>71.558949599999991</v>
      </c>
      <c r="C3" cm="1">
        <f t="array" ref="C3">ProbPensionadoEnAnio("Femenino",A3,Hombres!$A$1:$DW$225,Mujeres!$A$1:$DW$117,Pensionados!$A$2:$G$166,'Empleados activos'!$A$2:$I$225)</f>
        <v>89.003841899999983</v>
      </c>
      <c r="D3">
        <f t="shared" ref="D3:D66" si="0">B3+C3</f>
        <v>160.56279149999997</v>
      </c>
    </row>
    <row r="4" spans="1:4" x14ac:dyDescent="0.35">
      <c r="A4">
        <f t="shared" ref="A4:A67" si="1">A3+1</f>
        <v>2027</v>
      </c>
      <c r="B4" cm="1">
        <f t="array" ref="B4">ProbPensionadoEnAnio("Masculino",A4,Hombres!$A$1:$DW$225,Mujeres!$A$1:$DW$117,Pensionados!$A$2:$G$166,'Empleados activos'!$A$2:$I$225)</f>
        <v>69.091327448643057</v>
      </c>
      <c r="C4" cm="1">
        <f t="array" ref="C4">ProbPensionadoEnAnio("Femenino",A4,Hombres!$A$1:$DW$225,Mujeres!$A$1:$DW$117,Pensionados!$A$2:$G$166,'Empleados activos'!$A$2:$I$225)</f>
        <v>86.902622693755958</v>
      </c>
      <c r="D4">
        <f t="shared" si="0"/>
        <v>155.993950142399</v>
      </c>
    </row>
    <row r="5" spans="1:4" x14ac:dyDescent="0.35">
      <c r="A5">
        <f t="shared" si="1"/>
        <v>2028</v>
      </c>
      <c r="B5" cm="1">
        <f t="array" ref="B5">ProbPensionadoEnAnio("Masculino",A5,Hombres!$A$1:$DW$225,Mujeres!$A$1:$DW$117,Pensionados!$A$2:$G$166,'Empleados activos'!$A$2:$I$225)</f>
        <v>67.595899852552833</v>
      </c>
      <c r="C5" cm="1">
        <f t="array" ref="C5">ProbPensionadoEnAnio("Femenino",A5,Hombres!$A$1:$DW$225,Mujeres!$A$1:$DW$117,Pensionados!$A$2:$G$166,'Empleados activos'!$A$2:$I$225)</f>
        <v>84.69931973278365</v>
      </c>
      <c r="D5">
        <f t="shared" si="0"/>
        <v>152.2952195853365</v>
      </c>
    </row>
    <row r="6" spans="1:4" x14ac:dyDescent="0.35">
      <c r="A6">
        <f t="shared" si="1"/>
        <v>2029</v>
      </c>
      <c r="B6" cm="1">
        <f t="array" ref="B6">ProbPensionadoEnAnio("Masculino",A6,Hombres!$A$1:$DW$225,Mujeres!$A$1:$DW$117,Pensionados!$A$2:$G$166,'Empleados activos'!$A$2:$I$225)</f>
        <v>65.063320325048309</v>
      </c>
      <c r="C6" cm="1">
        <f t="array" ref="C6">ProbPensionadoEnAnio("Femenino",A6,Hombres!$A$1:$DW$225,Mujeres!$A$1:$DW$117,Pensionados!$A$2:$G$166,'Empleados activos'!$A$2:$I$225)</f>
        <v>82.390563287373624</v>
      </c>
      <c r="D6">
        <f t="shared" si="0"/>
        <v>147.45388361242192</v>
      </c>
    </row>
    <row r="7" spans="1:4" x14ac:dyDescent="0.35">
      <c r="A7">
        <f t="shared" si="1"/>
        <v>2030</v>
      </c>
      <c r="B7" cm="1">
        <f t="array" ref="B7">ProbPensionadoEnAnio("Masculino",A7,Hombres!$A$1:$DW$225,Mujeres!$A$1:$DW$117,Pensionados!$A$2:$G$166,'Empleados activos'!$A$2:$I$225)</f>
        <v>62.504554827676749</v>
      </c>
      <c r="C7" cm="1">
        <f t="array" ref="C7">ProbPensionadoEnAnio("Femenino",A7,Hombres!$A$1:$DW$225,Mujeres!$A$1:$DW$117,Pensionados!$A$2:$G$166,'Empleados activos'!$A$2:$I$225)</f>
        <v>80.982134656843158</v>
      </c>
      <c r="D7">
        <f t="shared" si="0"/>
        <v>143.4866894845199</v>
      </c>
    </row>
    <row r="8" spans="1:4" x14ac:dyDescent="0.35">
      <c r="A8">
        <f t="shared" si="1"/>
        <v>2031</v>
      </c>
      <c r="B8" cm="1">
        <f t="array" ref="B8">ProbPensionadoEnAnio("Masculino",A8,Hombres!$A$1:$DW$225,Mujeres!$A$1:$DW$117,Pensionados!$A$2:$G$166,'Empleados activos'!$A$2:$I$225)</f>
        <v>59.923408095264982</v>
      </c>
      <c r="C8" cm="1">
        <f t="array" ref="C8">ProbPensionadoEnAnio("Femenino",A8,Hombres!$A$1:$DW$225,Mujeres!$A$1:$DW$117,Pensionados!$A$2:$G$166,'Empleados activos'!$A$2:$I$225)</f>
        <v>79.468579175755082</v>
      </c>
      <c r="D8">
        <f t="shared" si="0"/>
        <v>139.39198727102007</v>
      </c>
    </row>
    <row r="9" spans="1:4" x14ac:dyDescent="0.35">
      <c r="A9">
        <f t="shared" si="1"/>
        <v>2032</v>
      </c>
      <c r="B9" cm="1">
        <f t="array" ref="B9">ProbPensionadoEnAnio("Masculino",A9,Hombres!$A$1:$DW$225,Mujeres!$A$1:$DW$117,Pensionados!$A$2:$G$166,'Empleados activos'!$A$2:$I$225)</f>
        <v>57.323415509675335</v>
      </c>
      <c r="C9" cm="1">
        <f t="array" ref="C9">ProbPensionadoEnAnio("Femenino",A9,Hombres!$A$1:$DW$225,Mujeres!$A$1:$DW$117,Pensionados!$A$2:$G$166,'Empleados activos'!$A$2:$I$225)</f>
        <v>77.856985568915519</v>
      </c>
      <c r="D9">
        <f t="shared" si="0"/>
        <v>135.18040107859085</v>
      </c>
    </row>
    <row r="10" spans="1:4" x14ac:dyDescent="0.35">
      <c r="A10">
        <f t="shared" si="1"/>
        <v>2033</v>
      </c>
      <c r="B10" cm="1">
        <f t="array" ref="B10">ProbPensionadoEnAnio("Masculino",A10,Hombres!$A$1:$DW$225,Mujeres!$A$1:$DW$117,Pensionados!$A$2:$G$166,'Empleados activos'!$A$2:$I$225)</f>
        <v>54.710300912673141</v>
      </c>
      <c r="C10" cm="1">
        <f t="array" ref="C10">ProbPensionadoEnAnio("Femenino",A10,Hombres!$A$1:$DW$225,Mujeres!$A$1:$DW$117,Pensionados!$A$2:$G$166,'Empleados activos'!$A$2:$I$225)</f>
        <v>75.148203018710689</v>
      </c>
      <c r="D10">
        <f t="shared" si="0"/>
        <v>129.85850393138384</v>
      </c>
    </row>
    <row r="11" spans="1:4" x14ac:dyDescent="0.35">
      <c r="A11">
        <f t="shared" si="1"/>
        <v>2034</v>
      </c>
      <c r="B11" cm="1">
        <f t="array" ref="B11">ProbPensionadoEnAnio("Masculino",A11,Hombres!$A$1:$DW$225,Mujeres!$A$1:$DW$117,Pensionados!$A$2:$G$166,'Empleados activos'!$A$2:$I$225)</f>
        <v>52.085036028342259</v>
      </c>
      <c r="C11" cm="1">
        <f t="array" ref="C11">ProbPensionadoEnAnio("Femenino",A11,Hombres!$A$1:$DW$225,Mujeres!$A$1:$DW$117,Pensionados!$A$2:$G$166,'Empleados activos'!$A$2:$I$225)</f>
        <v>73.352938168029198</v>
      </c>
      <c r="D11">
        <f t="shared" si="0"/>
        <v>125.43797419637146</v>
      </c>
    </row>
    <row r="12" spans="1:4" x14ac:dyDescent="0.35">
      <c r="A12">
        <f t="shared" si="1"/>
        <v>2035</v>
      </c>
      <c r="B12" cm="1">
        <f t="array" ref="B12">ProbPensionadoEnAnio("Masculino",A12,Hombres!$A$1:$DW$225,Mujeres!$A$1:$DW$117,Pensionados!$A$2:$G$166,'Empleados activos'!$A$2:$I$225)</f>
        <v>49.453851867274309</v>
      </c>
      <c r="C12" cm="1">
        <f t="array" ref="C12">ProbPensionadoEnAnio("Femenino",A12,Hombres!$A$1:$DW$225,Mujeres!$A$1:$DW$117,Pensionados!$A$2:$G$166,'Empleados activos'!$A$2:$I$225)</f>
        <v>70.469909940335597</v>
      </c>
      <c r="D12">
        <f t="shared" si="0"/>
        <v>119.92376180760991</v>
      </c>
    </row>
    <row r="13" spans="1:4" x14ac:dyDescent="0.35">
      <c r="A13">
        <f t="shared" si="1"/>
        <v>2036</v>
      </c>
      <c r="B13" cm="1">
        <f t="array" ref="B13">ProbPensionadoEnAnio("Masculino",A13,Hombres!$A$1:$DW$225,Mujeres!$A$1:$DW$117,Pensionados!$A$2:$G$166,'Empleados activos'!$A$2:$I$225)</f>
        <v>47.818749025355388</v>
      </c>
      <c r="C13" cm="1">
        <f t="array" ref="C13">ProbPensionadoEnAnio("Femenino",A13,Hombres!$A$1:$DW$225,Mujeres!$A$1:$DW$117,Pensionados!$A$2:$G$166,'Empleados activos'!$A$2:$I$225)</f>
        <v>67.5121069692742</v>
      </c>
      <c r="D13">
        <f t="shared" si="0"/>
        <v>115.33085599462959</v>
      </c>
    </row>
    <row r="14" spans="1:4" x14ac:dyDescent="0.35">
      <c r="A14">
        <f t="shared" si="1"/>
        <v>2037</v>
      </c>
      <c r="B14" cm="1">
        <f t="array" ref="B14">ProbPensionadoEnAnio("Masculino",A14,Hombres!$A$1:$DW$225,Mujeres!$A$1:$DW$117,Pensionados!$A$2:$G$166,'Empleados activos'!$A$2:$I$225)</f>
        <v>45.176898399346143</v>
      </c>
      <c r="C14" cm="1">
        <f t="array" ref="C14">ProbPensionadoEnAnio("Femenino",A14,Hombres!$A$1:$DW$225,Mujeres!$A$1:$DW$117,Pensionados!$A$2:$G$166,'Empleados activos'!$A$2:$I$225)</f>
        <v>65.489265962977825</v>
      </c>
      <c r="D14">
        <f t="shared" si="0"/>
        <v>110.66616436232397</v>
      </c>
    </row>
    <row r="15" spans="1:4" x14ac:dyDescent="0.35">
      <c r="A15">
        <f t="shared" si="1"/>
        <v>2038</v>
      </c>
      <c r="B15" cm="1">
        <f t="array" ref="B15">ProbPensionadoEnAnio("Masculino",A15,Hombres!$A$1:$DW$225,Mujeres!$A$1:$DW$117,Pensionados!$A$2:$G$166,'Empleados activos'!$A$2:$I$225)</f>
        <v>43.541968800660712</v>
      </c>
      <c r="C15" cm="1">
        <f t="array" ref="C15">ProbPensionadoEnAnio("Femenino",A15,Hombres!$A$1:$DW$225,Mujeres!$A$1:$DW$117,Pensionados!$A$2:$G$166,'Empleados activos'!$A$2:$I$225)</f>
        <v>64.403257185882666</v>
      </c>
      <c r="D15">
        <f t="shared" si="0"/>
        <v>107.94522598654338</v>
      </c>
    </row>
    <row r="16" spans="1:4" x14ac:dyDescent="0.35">
      <c r="A16">
        <f t="shared" si="1"/>
        <v>2039</v>
      </c>
      <c r="B16" cm="1">
        <f t="array" ref="B16">ProbPensionadoEnAnio("Masculino",A16,Hombres!$A$1:$DW$225,Mujeres!$A$1:$DW$117,Pensionados!$A$2:$G$166,'Empleados activos'!$A$2:$I$225)</f>
        <v>43.913396409908017</v>
      </c>
      <c r="C16" cm="1">
        <f t="array" ref="C16">ProbPensionadoEnAnio("Femenino",A16,Hombres!$A$1:$DW$225,Mujeres!$A$1:$DW$117,Pensionados!$A$2:$G$166,'Empleados activos'!$A$2:$I$225)</f>
        <v>64.261098459136818</v>
      </c>
      <c r="D16">
        <f t="shared" si="0"/>
        <v>108.17449486904484</v>
      </c>
    </row>
    <row r="17" spans="1:4" x14ac:dyDescent="0.35">
      <c r="A17">
        <f t="shared" si="1"/>
        <v>2040</v>
      </c>
      <c r="B17" cm="1">
        <f t="array" ref="B17">ProbPensionadoEnAnio("Masculino",A17,Hombres!$A$1:$DW$225,Mujeres!$A$1:$DW$117,Pensionados!$A$2:$G$166,'Empleados activos'!$A$2:$I$225)</f>
        <v>45.281302915382213</v>
      </c>
      <c r="C17" cm="1">
        <f t="array" ref="C17">ProbPensionadoEnAnio("Femenino",A17,Hombres!$A$1:$DW$225,Mujeres!$A$1:$DW$117,Pensionados!$A$2:$G$166,'Empleados activos'!$A$2:$I$225)</f>
        <v>64.068057964459328</v>
      </c>
      <c r="D17">
        <f t="shared" si="0"/>
        <v>109.34936087984154</v>
      </c>
    </row>
    <row r="18" spans="1:4" x14ac:dyDescent="0.35">
      <c r="A18">
        <f t="shared" si="1"/>
        <v>2041</v>
      </c>
      <c r="B18" cm="1">
        <f t="array" ref="B18">ProbPensionadoEnAnio("Masculino",A18,Hombres!$A$1:$DW$225,Mujeres!$A$1:$DW$117,Pensionados!$A$2:$G$166,'Empleados activos'!$A$2:$I$225)</f>
        <v>43.645111864223026</v>
      </c>
      <c r="C18" cm="1">
        <f t="array" ref="C18">ProbPensionadoEnAnio("Femenino",A18,Hombres!$A$1:$DW$225,Mujeres!$A$1:$DW$117,Pensionados!$A$2:$G$166,'Empleados activos'!$A$2:$I$225)</f>
        <v>62.838066352391607</v>
      </c>
      <c r="D18">
        <f t="shared" si="0"/>
        <v>106.48317821661463</v>
      </c>
    </row>
    <row r="19" spans="1:4" x14ac:dyDescent="0.35">
      <c r="A19">
        <f t="shared" si="1"/>
        <v>2042</v>
      </c>
      <c r="B19" cm="1">
        <f t="array" ref="B19">ProbPensionadoEnAnio("Masculino",A19,Hombres!$A$1:$DW$225,Mujeres!$A$1:$DW$117,Pensionados!$A$2:$G$166,'Empleados activos'!$A$2:$I$225)</f>
        <v>44.041496462962904</v>
      </c>
      <c r="C19" cm="1">
        <f t="array" ref="C19">ProbPensionadoEnAnio("Femenino",A19,Hombres!$A$1:$DW$225,Mujeres!$A$1:$DW$117,Pensionados!$A$2:$G$166,'Empleados activos'!$A$2:$I$225)</f>
        <v>63.58860947989595</v>
      </c>
      <c r="D19">
        <f t="shared" si="0"/>
        <v>107.63010594285885</v>
      </c>
    </row>
    <row r="20" spans="1:4" x14ac:dyDescent="0.35">
      <c r="A20">
        <f t="shared" si="1"/>
        <v>2043</v>
      </c>
      <c r="B20" cm="1">
        <f t="array" ref="B20">ProbPensionadoEnAnio("Masculino",A20,Hombres!$A$1:$DW$225,Mujeres!$A$1:$DW$117,Pensionados!$A$2:$G$166,'Empleados activos'!$A$2:$I$225)</f>
        <v>41.456885282538408</v>
      </c>
      <c r="C20" cm="1">
        <f t="array" ref="C20">ProbPensionadoEnAnio("Femenino",A20,Hombres!$A$1:$DW$225,Mujeres!$A$1:$DW$117,Pensionados!$A$2:$G$166,'Empleados activos'!$A$2:$I$225)</f>
        <v>65.323464430147482</v>
      </c>
      <c r="D20">
        <f t="shared" si="0"/>
        <v>106.78034971268589</v>
      </c>
    </row>
    <row r="21" spans="1:4" x14ac:dyDescent="0.35">
      <c r="A21">
        <f t="shared" si="1"/>
        <v>2044</v>
      </c>
      <c r="B21" cm="1">
        <f t="array" ref="B21">ProbPensionadoEnAnio("Masculino",A21,Hombres!$A$1:$DW$225,Mujeres!$A$1:$DW$117,Pensionados!$A$2:$G$166,'Empleados activos'!$A$2:$I$225)</f>
        <v>41.920702460693839</v>
      </c>
      <c r="C21" cm="1">
        <f t="array" ref="C21">ProbPensionadoEnAnio("Femenino",A21,Hombres!$A$1:$DW$225,Mujeres!$A$1:$DW$117,Pensionados!$A$2:$G$166,'Empleados activos'!$A$2:$I$225)</f>
        <v>64.047703587307694</v>
      </c>
      <c r="D21">
        <f t="shared" si="0"/>
        <v>105.96840604800153</v>
      </c>
    </row>
    <row r="22" spans="1:4" x14ac:dyDescent="0.35">
      <c r="A22">
        <f t="shared" si="1"/>
        <v>2045</v>
      </c>
      <c r="B22" cm="1">
        <f t="array" ref="B22">ProbPensionadoEnAnio("Masculino",A22,Hombres!$A$1:$DW$225,Mujeres!$A$1:$DW$117,Pensionados!$A$2:$G$166,'Empleados activos'!$A$2:$I$225)</f>
        <v>40.412644778485216</v>
      </c>
      <c r="C22" cm="1">
        <f t="array" ref="C22">ProbPensionadoEnAnio("Femenino",A22,Hombres!$A$1:$DW$225,Mujeres!$A$1:$DW$117,Pensionados!$A$2:$G$166,'Empleados activos'!$A$2:$I$225)</f>
        <v>64.789771958371716</v>
      </c>
      <c r="D22">
        <f t="shared" si="0"/>
        <v>105.20241673685693</v>
      </c>
    </row>
    <row r="23" spans="1:4" x14ac:dyDescent="0.35">
      <c r="A23">
        <f t="shared" si="1"/>
        <v>2046</v>
      </c>
      <c r="B23" cm="1">
        <f t="array" ref="B23">ProbPensionadoEnAnio("Masculino",A23,Hombres!$A$1:$DW$225,Mujeres!$A$1:$DW$117,Pensionados!$A$2:$G$166,'Empleados activos'!$A$2:$I$225)</f>
        <v>44.960447302761764</v>
      </c>
      <c r="C23" cm="1">
        <f t="array" ref="C23">ProbPensionadoEnAnio("Femenino",A23,Hombres!$A$1:$DW$225,Mujeres!$A$1:$DW$117,Pensionados!$A$2:$G$166,'Empleados activos'!$A$2:$I$225)</f>
        <v>64.556098728661468</v>
      </c>
      <c r="D23">
        <f t="shared" si="0"/>
        <v>109.51654603142323</v>
      </c>
    </row>
    <row r="24" spans="1:4" x14ac:dyDescent="0.35">
      <c r="A24">
        <f t="shared" si="1"/>
        <v>2047</v>
      </c>
      <c r="B24" cm="1">
        <f t="array" ref="B24">ProbPensionadoEnAnio("Masculino",A24,Hombres!$A$1:$DW$225,Mujeres!$A$1:$DW$117,Pensionados!$A$2:$G$166,'Empleados activos'!$A$2:$I$225)</f>
        <v>43.513258827230132</v>
      </c>
      <c r="C24" cm="1">
        <f t="array" ref="C24">ProbPensionadoEnAnio("Femenino",A24,Hombres!$A$1:$DW$225,Mujeres!$A$1:$DW$117,Pensionados!$A$2:$G$166,'Empleados activos'!$A$2:$I$225)</f>
        <v>63.364148599890726</v>
      </c>
      <c r="D24">
        <f t="shared" si="0"/>
        <v>106.87740742712086</v>
      </c>
    </row>
    <row r="25" spans="1:4" x14ac:dyDescent="0.35">
      <c r="A25">
        <f t="shared" si="1"/>
        <v>2048</v>
      </c>
      <c r="B25" cm="1">
        <f t="array" ref="B25">ProbPensionadoEnAnio("Masculino",A25,Hombres!$A$1:$DW$225,Mujeres!$A$1:$DW$117,Pensionados!$A$2:$G$166,'Empleados activos'!$A$2:$I$225)</f>
        <v>42.127023222929168</v>
      </c>
      <c r="C25" cm="1">
        <f t="array" ref="C25">ProbPensionadoEnAnio("Femenino",A25,Hombres!$A$1:$DW$225,Mujeres!$A$1:$DW$117,Pensionados!$A$2:$G$166,'Empleados activos'!$A$2:$I$225)</f>
        <v>67.227341120215357</v>
      </c>
      <c r="D25">
        <f t="shared" si="0"/>
        <v>109.35436434314452</v>
      </c>
    </row>
    <row r="26" spans="1:4" x14ac:dyDescent="0.35">
      <c r="A26">
        <f t="shared" si="1"/>
        <v>2049</v>
      </c>
      <c r="B26" cm="1">
        <f t="array" ref="B26">ProbPensionadoEnAnio("Masculino",A26,Hombres!$A$1:$DW$225,Mujeres!$A$1:$DW$117,Pensionados!$A$2:$G$166,'Empleados activos'!$A$2:$I$225)</f>
        <v>40.805664469144617</v>
      </c>
      <c r="C26" cm="1">
        <f t="array" ref="C26">ProbPensionadoEnAnio("Femenino",A26,Hombres!$A$1:$DW$225,Mujeres!$A$1:$DW$117,Pensionados!$A$2:$G$166,'Empleados activos'!$A$2:$I$225)</f>
        <v>72.136361940413636</v>
      </c>
      <c r="D26">
        <f t="shared" si="0"/>
        <v>112.94202640955825</v>
      </c>
    </row>
    <row r="27" spans="1:4" x14ac:dyDescent="0.35">
      <c r="A27">
        <f t="shared" si="1"/>
        <v>2050</v>
      </c>
      <c r="B27" cm="1">
        <f t="array" ref="B27">ProbPensionadoEnAnio("Masculino",A27,Hombres!$A$1:$DW$225,Mujeres!$A$1:$DW$117,Pensionados!$A$2:$G$166,'Empleados activos'!$A$2:$I$225)</f>
        <v>40.555316751581685</v>
      </c>
      <c r="C27" cm="1">
        <f t="array" ref="C27">ProbPensionadoEnAnio("Femenino",A27,Hombres!$A$1:$DW$225,Mujeres!$A$1:$DW$117,Pensionados!$A$2:$G$166,'Empleados activos'!$A$2:$I$225)</f>
        <v>71.102277398821144</v>
      </c>
      <c r="D27">
        <f t="shared" si="0"/>
        <v>111.65759415040283</v>
      </c>
    </row>
    <row r="28" spans="1:4" x14ac:dyDescent="0.35">
      <c r="A28">
        <f t="shared" si="1"/>
        <v>2051</v>
      </c>
      <c r="B28" cm="1">
        <f t="array" ref="B28">ProbPensionadoEnAnio("Masculino",A28,Hombres!$A$1:$DW$225,Mujeres!$A$1:$DW$117,Pensionados!$A$2:$G$166,'Empleados activos'!$A$2:$I$225)</f>
        <v>40.373636625022741</v>
      </c>
      <c r="C28" cm="1">
        <f t="array" ref="C28">ProbPensionadoEnAnio("Femenino",A28,Hombres!$A$1:$DW$225,Mujeres!$A$1:$DW$117,Pensionados!$A$2:$G$166,'Empleados activos'!$A$2:$I$225)</f>
        <v>73.16126541812018</v>
      </c>
      <c r="D28">
        <f t="shared" si="0"/>
        <v>113.53490204314292</v>
      </c>
    </row>
    <row r="29" spans="1:4" x14ac:dyDescent="0.35">
      <c r="A29">
        <f t="shared" si="1"/>
        <v>2052</v>
      </c>
      <c r="B29" cm="1">
        <f t="array" ref="B29">ProbPensionadoEnAnio("Masculino",A29,Hombres!$A$1:$DW$225,Mujeres!$A$1:$DW$117,Pensionados!$A$2:$G$166,'Empleados activos'!$A$2:$I$225)</f>
        <v>43.263418623716788</v>
      </c>
      <c r="C29" cm="1">
        <f t="array" ref="C29">ProbPensionadoEnAnio("Femenino",A29,Hombres!$A$1:$DW$225,Mujeres!$A$1:$DW$117,Pensionados!$A$2:$G$166,'Empleados activos'!$A$2:$I$225)</f>
        <v>74.314233558868452</v>
      </c>
      <c r="D29">
        <f t="shared" si="0"/>
        <v>117.57765218258524</v>
      </c>
    </row>
    <row r="30" spans="1:4" x14ac:dyDescent="0.35">
      <c r="A30">
        <f t="shared" si="1"/>
        <v>2053</v>
      </c>
      <c r="B30" cm="1">
        <f t="array" ref="B30">ProbPensionadoEnAnio("Masculino",A30,Hombres!$A$1:$DW$225,Mujeres!$A$1:$DW$117,Pensionados!$A$2:$G$166,'Empleados activos'!$A$2:$I$225)</f>
        <v>46.201149074957918</v>
      </c>
      <c r="C30" cm="1">
        <f t="array" ref="C30">ProbPensionadoEnAnio("Femenino",A30,Hombres!$A$1:$DW$225,Mujeres!$A$1:$DW$117,Pensionados!$A$2:$G$166,'Empleados activos'!$A$2:$I$225)</f>
        <v>76.574041907767437</v>
      </c>
      <c r="D30">
        <f t="shared" si="0"/>
        <v>122.77519098272535</v>
      </c>
    </row>
    <row r="31" spans="1:4" x14ac:dyDescent="0.35">
      <c r="A31">
        <f t="shared" si="1"/>
        <v>2054</v>
      </c>
      <c r="B31" cm="1">
        <f t="array" ref="B31">ProbPensionadoEnAnio("Masculino",A31,Hombres!$A$1:$DW$225,Mujeres!$A$1:$DW$117,Pensionados!$A$2:$G$166,'Empleados activos'!$A$2:$I$225)</f>
        <v>52.184362841051602</v>
      </c>
      <c r="C31" cm="1">
        <f t="array" ref="C31">ProbPensionadoEnAnio("Femenino",A31,Hombres!$A$1:$DW$225,Mujeres!$A$1:$DW$117,Pensionados!$A$2:$G$166,'Empleados activos'!$A$2:$I$225)</f>
        <v>79.943396636471988</v>
      </c>
      <c r="D31">
        <f t="shared" si="0"/>
        <v>132.1277594775236</v>
      </c>
    </row>
    <row r="32" spans="1:4" x14ac:dyDescent="0.35">
      <c r="A32">
        <f t="shared" si="1"/>
        <v>2055</v>
      </c>
      <c r="B32" cm="1">
        <f t="array" ref="B32">ProbPensionadoEnAnio("Masculino",A32,Hombres!$A$1:$DW$225,Mujeres!$A$1:$DW$117,Pensionados!$A$2:$G$166,'Empleados activos'!$A$2:$I$225)</f>
        <v>59.183634905850262</v>
      </c>
      <c r="C32" cm="1">
        <f t="array" ref="C32">ProbPensionadoEnAnio("Femenino",A32,Hombres!$A$1:$DW$225,Mujeres!$A$1:$DW$117,Pensionados!$A$2:$G$166,'Empleados activos'!$A$2:$I$225)</f>
        <v>88.422712450437402</v>
      </c>
      <c r="D32">
        <f t="shared" si="0"/>
        <v>147.60634735628767</v>
      </c>
    </row>
    <row r="33" spans="1:4" x14ac:dyDescent="0.35">
      <c r="A33">
        <f t="shared" si="1"/>
        <v>2056</v>
      </c>
      <c r="B33" cm="1">
        <f t="array" ref="B33">ProbPensionadoEnAnio("Masculino",A33,Hombres!$A$1:$DW$225,Mujeres!$A$1:$DW$117,Pensionados!$A$2:$G$166,'Empleados activos'!$A$2:$I$225)</f>
        <v>70.185507612022278</v>
      </c>
      <c r="C33" cm="1">
        <f t="array" ref="C33">ProbPensionadoEnAnio("Femenino",A33,Hombres!$A$1:$DW$225,Mujeres!$A$1:$DW$117,Pensionados!$A$2:$G$166,'Empleados activos'!$A$2:$I$225)</f>
        <v>88.996052834702041</v>
      </c>
      <c r="D33">
        <f t="shared" si="0"/>
        <v>159.18156044672432</v>
      </c>
    </row>
    <row r="34" spans="1:4" x14ac:dyDescent="0.35">
      <c r="A34">
        <f t="shared" si="1"/>
        <v>2057</v>
      </c>
      <c r="B34" cm="1">
        <f t="array" ref="B34">ProbPensionadoEnAnio("Masculino",A34,Hombres!$A$1:$DW$225,Mujeres!$A$1:$DW$117,Pensionados!$A$2:$G$166,'Empleados activos'!$A$2:$I$225)</f>
        <v>73.153950755319286</v>
      </c>
      <c r="C34" cm="1">
        <f t="array" ref="C34">ProbPensionadoEnAnio("Femenino",A34,Hombres!$A$1:$DW$225,Mujeres!$A$1:$DW$117,Pensionados!$A$2:$G$166,'Empleados activos'!$A$2:$I$225)</f>
        <v>91.682735872121611</v>
      </c>
      <c r="D34">
        <f t="shared" si="0"/>
        <v>164.83668662744088</v>
      </c>
    </row>
    <row r="35" spans="1:4" x14ac:dyDescent="0.35">
      <c r="A35">
        <f t="shared" si="1"/>
        <v>2058</v>
      </c>
      <c r="B35" cm="1">
        <f t="array" ref="B35">ProbPensionadoEnAnio("Masculino",A35,Hombres!$A$1:$DW$225,Mujeres!$A$1:$DW$117,Pensionados!$A$2:$G$166,'Empleados activos'!$A$2:$I$225)</f>
        <v>75.141169211468991</v>
      </c>
      <c r="C35" cm="1">
        <f t="array" ref="C35">ProbPensionadoEnAnio("Femenino",A35,Hombres!$A$1:$DW$225,Mujeres!$A$1:$DW$117,Pensionados!$A$2:$G$166,'Empleados activos'!$A$2:$I$225)</f>
        <v>94.466303567537935</v>
      </c>
      <c r="D35">
        <f t="shared" si="0"/>
        <v>169.60747277900691</v>
      </c>
    </row>
    <row r="36" spans="1:4" x14ac:dyDescent="0.35">
      <c r="A36">
        <f t="shared" si="1"/>
        <v>2059</v>
      </c>
      <c r="B36" cm="1">
        <f t="array" ref="B36">ProbPensionadoEnAnio("Masculino",A36,Hombres!$A$1:$DW$225,Mujeres!$A$1:$DW$117,Pensionados!$A$2:$G$166,'Empleados activos'!$A$2:$I$225)</f>
        <v>77.148511030427031</v>
      </c>
      <c r="C36" cm="1">
        <f t="array" ref="C36">ProbPensionadoEnAnio("Femenino",A36,Hombres!$A$1:$DW$225,Mujeres!$A$1:$DW$117,Pensionados!$A$2:$G$166,'Empleados activos'!$A$2:$I$225)</f>
        <v>98.332870381323943</v>
      </c>
      <c r="D36">
        <f t="shared" si="0"/>
        <v>175.48138141175099</v>
      </c>
    </row>
    <row r="37" spans="1:4" x14ac:dyDescent="0.35">
      <c r="A37">
        <f t="shared" si="1"/>
        <v>2060</v>
      </c>
      <c r="B37" cm="1">
        <f t="array" ref="B37">ProbPensionadoEnAnio("Masculino",A37,Hombres!$A$1:$DW$225,Mujeres!$A$1:$DW$117,Pensionados!$A$2:$G$166,'Empleados activos'!$A$2:$I$225)</f>
        <v>78.160655773047523</v>
      </c>
      <c r="C37" cm="1">
        <f t="array" ref="C37">ProbPensionadoEnAnio("Femenino",A37,Hombres!$A$1:$DW$225,Mujeres!$A$1:$DW$117,Pensionados!$A$2:$G$166,'Empleados activos'!$A$2:$I$225)</f>
        <v>97.261143651660362</v>
      </c>
      <c r="D37">
        <f t="shared" si="0"/>
        <v>175.4217994247079</v>
      </c>
    </row>
    <row r="38" spans="1:4" x14ac:dyDescent="0.35">
      <c r="A38">
        <f t="shared" si="1"/>
        <v>2061</v>
      </c>
      <c r="B38" cm="1">
        <f t="array" ref="B38">ProbPensionadoEnAnio("Masculino",A38,Hombres!$A$1:$DW$225,Mujeres!$A$1:$DW$117,Pensionados!$A$2:$G$166,'Empleados activos'!$A$2:$I$225)</f>
        <v>77.173313499666676</v>
      </c>
      <c r="C38" cm="1">
        <f t="array" ref="C38">ProbPensionadoEnAnio("Femenino",A38,Hombres!$A$1:$DW$225,Mujeres!$A$1:$DW$117,Pensionados!$A$2:$G$166,'Empleados activos'!$A$2:$I$225)</f>
        <v>99.24720495063724</v>
      </c>
      <c r="D38">
        <f t="shared" si="0"/>
        <v>176.42051845030392</v>
      </c>
    </row>
    <row r="39" spans="1:4" x14ac:dyDescent="0.35">
      <c r="A39">
        <f t="shared" si="1"/>
        <v>2062</v>
      </c>
      <c r="B39" cm="1">
        <f t="array" ref="B39">ProbPensionadoEnAnio("Masculino",A39,Hombres!$A$1:$DW$225,Mujeres!$A$1:$DW$117,Pensionados!$A$2:$G$166,'Empleados activos'!$A$2:$I$225)</f>
        <v>78.176865187184404</v>
      </c>
      <c r="C39" cm="1">
        <f t="array" ref="C39">ProbPensionadoEnAnio("Femenino",A39,Hombres!$A$1:$DW$225,Mujeres!$A$1:$DW$117,Pensionados!$A$2:$G$166,'Empleados activos'!$A$2:$I$225)</f>
        <v>99.264154503851515</v>
      </c>
      <c r="D39">
        <f t="shared" si="0"/>
        <v>177.44101969103593</v>
      </c>
    </row>
    <row r="40" spans="1:4" x14ac:dyDescent="0.35">
      <c r="A40">
        <f t="shared" si="1"/>
        <v>2063</v>
      </c>
      <c r="B40" cm="1">
        <f t="array" ref="B40">ProbPensionadoEnAnio("Masculino",A40,Hombres!$A$1:$DW$225,Mujeres!$A$1:$DW$117,Pensionados!$A$2:$G$166,'Empleados activos'!$A$2:$I$225)</f>
        <v>84.144042398348034</v>
      </c>
      <c r="C40" cm="1">
        <f t="array" ref="C40">ProbPensionadoEnAnio("Femenino",A40,Hombres!$A$1:$DW$225,Mujeres!$A$1:$DW$117,Pensionados!$A$2:$G$166,'Empleados activos'!$A$2:$I$225)</f>
        <v>101.28990473046801</v>
      </c>
      <c r="D40">
        <f t="shared" si="0"/>
        <v>185.43394712881604</v>
      </c>
    </row>
    <row r="41" spans="1:4" x14ac:dyDescent="0.35">
      <c r="A41">
        <f t="shared" si="1"/>
        <v>2064</v>
      </c>
      <c r="B41" cm="1">
        <f t="array" ref="B41">ProbPensionadoEnAnio("Masculino",A41,Hombres!$A$1:$DW$225,Mujeres!$A$1:$DW$117,Pensionados!$A$2:$G$166,'Empleados activos'!$A$2:$I$225)</f>
        <v>84.018501063255925</v>
      </c>
      <c r="C41" cm="1">
        <f t="array" ref="C41">ProbPensionadoEnAnio("Femenino",A41,Hombres!$A$1:$DW$225,Mujeres!$A$1:$DW$117,Pensionados!$A$2:$G$166,'Empleados activos'!$A$2:$I$225)</f>
        <v>101.29325600859617</v>
      </c>
      <c r="D41">
        <f t="shared" si="0"/>
        <v>185.3117570718521</v>
      </c>
    </row>
    <row r="42" spans="1:4" x14ac:dyDescent="0.35">
      <c r="A42">
        <f t="shared" si="1"/>
        <v>2065</v>
      </c>
      <c r="B42" cm="1">
        <f t="array" ref="B42">ProbPensionadoEnAnio("Masculino",A42,Hombres!$A$1:$DW$225,Mujeres!$A$1:$DW$117,Pensionados!$A$2:$G$166,'Empleados activos'!$A$2:$I$225)</f>
        <v>83.830043736211991</v>
      </c>
      <c r="C42" cm="1">
        <f t="array" ref="C42">ProbPensionadoEnAnio("Femenino",A42,Hombres!$A$1:$DW$225,Mujeres!$A$1:$DW$117,Pensionados!$A$2:$G$166,'Empleados activos'!$A$2:$I$225)</f>
        <v>99.25681181107565</v>
      </c>
      <c r="D42">
        <f t="shared" si="0"/>
        <v>183.08685554728766</v>
      </c>
    </row>
    <row r="43" spans="1:4" x14ac:dyDescent="0.35">
      <c r="A43">
        <f t="shared" si="1"/>
        <v>2066</v>
      </c>
      <c r="B43" cm="1">
        <f t="array" ref="B43">ProbPensionadoEnAnio("Masculino",A43,Hombres!$A$1:$DW$225,Mujeres!$A$1:$DW$117,Pensionados!$A$2:$G$166,'Empleados activos'!$A$2:$I$225)</f>
        <v>82.56956098375025</v>
      </c>
      <c r="C43" cm="1">
        <f t="array" ref="C43">ProbPensionadoEnAnio("Femenino",A43,Hombres!$A$1:$DW$225,Mujeres!$A$1:$DW$117,Pensionados!$A$2:$G$166,'Empleados activos'!$A$2:$I$225)</f>
        <v>97.162018408357127</v>
      </c>
      <c r="D43">
        <f t="shared" si="0"/>
        <v>179.73157939210739</v>
      </c>
    </row>
    <row r="44" spans="1:4" x14ac:dyDescent="0.35">
      <c r="A44">
        <f t="shared" si="1"/>
        <v>2067</v>
      </c>
      <c r="B44" cm="1">
        <f t="array" ref="B44">ProbPensionadoEnAnio("Masculino",A44,Hombres!$A$1:$DW$225,Mujeres!$A$1:$DW$117,Pensionados!$A$2:$G$166,'Empleados activos'!$A$2:$I$225)</f>
        <v>81.23932104229101</v>
      </c>
      <c r="C44" cm="1">
        <f t="array" ref="C44">ProbPensionadoEnAnio("Femenino",A44,Hombres!$A$1:$DW$225,Mujeres!$A$1:$DW$117,Pensionados!$A$2:$G$166,'Empleados activos'!$A$2:$I$225)</f>
        <v>94.99162002526397</v>
      </c>
      <c r="D44">
        <f t="shared" si="0"/>
        <v>176.23094106755497</v>
      </c>
    </row>
    <row r="45" spans="1:4" x14ac:dyDescent="0.35">
      <c r="A45">
        <f t="shared" si="1"/>
        <v>2068</v>
      </c>
      <c r="B45" cm="1">
        <f t="array" ref="B45">ProbPensionadoEnAnio("Masculino",A45,Hombres!$A$1:$DW$225,Mujeres!$A$1:$DW$117,Pensionados!$A$2:$G$166,'Empleados activos'!$A$2:$I$225)</f>
        <v>81.831026734751191</v>
      </c>
      <c r="C45" cm="1">
        <f t="array" ref="C45">ProbPensionadoEnAnio("Femenino",A45,Hombres!$A$1:$DW$225,Mujeres!$A$1:$DW$117,Pensionados!$A$2:$G$166,'Empleados activos'!$A$2:$I$225)</f>
        <v>92.735379914680109</v>
      </c>
      <c r="D45">
        <f t="shared" si="0"/>
        <v>174.56640664943131</v>
      </c>
    </row>
    <row r="46" spans="1:4" x14ac:dyDescent="0.35">
      <c r="A46">
        <f t="shared" si="1"/>
        <v>2069</v>
      </c>
      <c r="B46" cm="1">
        <f t="array" ref="B46">ProbPensionadoEnAnio("Masculino",A46,Hombres!$A$1:$DW$225,Mujeres!$A$1:$DW$117,Pensionados!$A$2:$G$166,'Empleados activos'!$A$2:$I$225)</f>
        <v>79.325971341958819</v>
      </c>
      <c r="C46" cm="1">
        <f t="array" ref="C46">ProbPensionadoEnAnio("Femenino",A46,Hombres!$A$1:$DW$225,Mujeres!$A$1:$DW$117,Pensionados!$A$2:$G$166,'Empleados activos'!$A$2:$I$225)</f>
        <v>90.37531827021769</v>
      </c>
      <c r="D46">
        <f t="shared" si="0"/>
        <v>169.70128961217651</v>
      </c>
    </row>
    <row r="47" spans="1:4" x14ac:dyDescent="0.35">
      <c r="A47">
        <f t="shared" si="1"/>
        <v>2070</v>
      </c>
      <c r="B47" cm="1">
        <f t="array" ref="B47">ProbPensionadoEnAnio("Masculino",A47,Hombres!$A$1:$DW$225,Mujeres!$A$1:$DW$117,Pensionados!$A$2:$G$166,'Empleados activos'!$A$2:$I$225)</f>
        <v>76.739023861930519</v>
      </c>
      <c r="C47" cm="1">
        <f t="array" ref="C47">ProbPensionadoEnAnio("Femenino",A47,Hombres!$A$1:$DW$225,Mujeres!$A$1:$DW$117,Pensionados!$A$2:$G$166,'Empleados activos'!$A$2:$I$225)</f>
        <v>87.902346666851017</v>
      </c>
      <c r="D47">
        <f t="shared" si="0"/>
        <v>164.64137052878152</v>
      </c>
    </row>
    <row r="48" spans="1:4" x14ac:dyDescent="0.35">
      <c r="A48">
        <f t="shared" si="1"/>
        <v>2071</v>
      </c>
      <c r="B48" cm="1">
        <f t="array" ref="B48">ProbPensionadoEnAnio("Masculino",A48,Hombres!$A$1:$DW$225,Mujeres!$A$1:$DW$117,Pensionados!$A$2:$G$166,'Empleados activos'!$A$2:$I$225)</f>
        <v>74.068938154344565</v>
      </c>
      <c r="C48" cm="1">
        <f t="array" ref="C48">ProbPensionadoEnAnio("Femenino",A48,Hombres!$A$1:$DW$225,Mujeres!$A$1:$DW$117,Pensionados!$A$2:$G$166,'Empleados activos'!$A$2:$I$225)</f>
        <v>85.309406335283029</v>
      </c>
      <c r="D48">
        <f t="shared" si="0"/>
        <v>159.37834448962758</v>
      </c>
    </row>
    <row r="49" spans="1:4" x14ac:dyDescent="0.35">
      <c r="A49">
        <f t="shared" si="1"/>
        <v>2072</v>
      </c>
      <c r="B49" cm="1">
        <f t="array" ref="B49">ProbPensionadoEnAnio("Masculino",A49,Hombres!$A$1:$DW$225,Mujeres!$A$1:$DW$117,Pensionados!$A$2:$G$166,'Empleados activos'!$A$2:$I$225)</f>
        <v>71.309947457972868</v>
      </c>
      <c r="C49" cm="1">
        <f t="array" ref="C49">ProbPensionadoEnAnio("Femenino",A49,Hombres!$A$1:$DW$225,Mujeres!$A$1:$DW$117,Pensionados!$A$2:$G$166,'Empleados activos'!$A$2:$I$225)</f>
        <v>82.590606451442909</v>
      </c>
      <c r="D49">
        <f t="shared" si="0"/>
        <v>153.90055390941578</v>
      </c>
    </row>
    <row r="50" spans="1:4" x14ac:dyDescent="0.35">
      <c r="A50">
        <f t="shared" si="1"/>
        <v>2073</v>
      </c>
      <c r="B50" cm="1">
        <f t="array" ref="B50">ProbPensionadoEnAnio("Masculino",A50,Hombres!$A$1:$DW$225,Mujeres!$A$1:$DW$117,Pensionados!$A$2:$G$166,'Empleados activos'!$A$2:$I$225)</f>
        <v>68.471616437200836</v>
      </c>
      <c r="C50" cm="1">
        <f t="array" ref="C50">ProbPensionadoEnAnio("Femenino",A50,Hombres!$A$1:$DW$225,Mujeres!$A$1:$DW$117,Pensionados!$A$2:$G$166,'Empleados activos'!$A$2:$I$225)</f>
        <v>79.737140779502525</v>
      </c>
      <c r="D50">
        <f t="shared" si="0"/>
        <v>148.20875721670336</v>
      </c>
    </row>
    <row r="51" spans="1:4" x14ac:dyDescent="0.35">
      <c r="A51">
        <f t="shared" si="1"/>
        <v>2074</v>
      </c>
      <c r="B51" cm="1">
        <f t="array" ref="B51">ProbPensionadoEnAnio("Masculino",A51,Hombres!$A$1:$DW$225,Mujeres!$A$1:$DW$117,Pensionados!$A$2:$G$166,'Empleados activos'!$A$2:$I$225)</f>
        <v>65.557885667120928</v>
      </c>
      <c r="C51" cm="1">
        <f t="array" ref="C51">ProbPensionadoEnAnio("Femenino",A51,Hombres!$A$1:$DW$225,Mujeres!$A$1:$DW$117,Pensionados!$A$2:$G$166,'Empleados activos'!$A$2:$I$225)</f>
        <v>76.756173833545589</v>
      </c>
      <c r="D51">
        <f t="shared" si="0"/>
        <v>142.31405950066653</v>
      </c>
    </row>
    <row r="52" spans="1:4" x14ac:dyDescent="0.35">
      <c r="A52">
        <f t="shared" si="1"/>
        <v>2075</v>
      </c>
      <c r="B52" cm="1">
        <f t="array" ref="B52">ProbPensionadoEnAnio("Masculino",A52,Hombres!$A$1:$DW$225,Mujeres!$A$1:$DW$117,Pensionados!$A$2:$G$166,'Empleados activos'!$A$2:$I$225)</f>
        <v>62.575582269230104</v>
      </c>
      <c r="C52" cm="1">
        <f t="array" ref="C52">ProbPensionadoEnAnio("Femenino",A52,Hombres!$A$1:$DW$225,Mujeres!$A$1:$DW$117,Pensionados!$A$2:$G$166,'Empleados activos'!$A$2:$I$225)</f>
        <v>73.650341257422397</v>
      </c>
      <c r="D52">
        <f t="shared" si="0"/>
        <v>136.22592352665251</v>
      </c>
    </row>
    <row r="53" spans="1:4" x14ac:dyDescent="0.35">
      <c r="A53">
        <f t="shared" si="1"/>
        <v>2076</v>
      </c>
      <c r="B53" cm="1">
        <f t="array" ref="B53">ProbPensionadoEnAnio("Masculino",A53,Hombres!$A$1:$DW$225,Mujeres!$A$1:$DW$117,Pensionados!$A$2:$G$166,'Empleados activos'!$A$2:$I$225)</f>
        <v>59.535842197992189</v>
      </c>
      <c r="C53" cm="1">
        <f t="array" ref="C53">ProbPensionadoEnAnio("Femenino",A53,Hombres!$A$1:$DW$225,Mujeres!$A$1:$DW$117,Pensionados!$A$2:$G$166,'Empleados activos'!$A$2:$I$225)</f>
        <v>70.429132032948402</v>
      </c>
      <c r="D53">
        <f t="shared" si="0"/>
        <v>129.96497423094058</v>
      </c>
    </row>
    <row r="54" spans="1:4" x14ac:dyDescent="0.35">
      <c r="A54">
        <f t="shared" si="1"/>
        <v>2077</v>
      </c>
      <c r="B54" cm="1">
        <f t="array" ref="B54">ProbPensionadoEnAnio("Masculino",A54,Hombres!$A$1:$DW$225,Mujeres!$A$1:$DW$117,Pensionados!$A$2:$G$166,'Empleados activos'!$A$2:$I$225)</f>
        <v>56.45094696522527</v>
      </c>
      <c r="C54" cm="1">
        <f t="array" ref="C54">ProbPensionadoEnAnio("Femenino",A54,Hombres!$A$1:$DW$225,Mujeres!$A$1:$DW$117,Pensionados!$A$2:$G$166,'Empleados activos'!$A$2:$I$225)</f>
        <v>67.101911799176847</v>
      </c>
      <c r="D54">
        <f t="shared" si="0"/>
        <v>123.55285876440212</v>
      </c>
    </row>
    <row r="55" spans="1:4" x14ac:dyDescent="0.35">
      <c r="A55">
        <f t="shared" si="1"/>
        <v>2078</v>
      </c>
      <c r="B55" cm="1">
        <f t="array" ref="B55">ProbPensionadoEnAnio("Masculino",A55,Hombres!$A$1:$DW$225,Mujeres!$A$1:$DW$117,Pensionados!$A$2:$G$166,'Empleados activos'!$A$2:$I$225)</f>
        <v>53.326364850059022</v>
      </c>
      <c r="C55" cm="1">
        <f t="array" ref="C55">ProbPensionadoEnAnio("Femenino",A55,Hombres!$A$1:$DW$225,Mujeres!$A$1:$DW$117,Pensionados!$A$2:$G$166,'Empleados activos'!$A$2:$I$225)</f>
        <v>63.683652263548005</v>
      </c>
      <c r="D55">
        <f t="shared" si="0"/>
        <v>117.01001711360703</v>
      </c>
    </row>
    <row r="56" spans="1:4" x14ac:dyDescent="0.35">
      <c r="A56">
        <f t="shared" si="1"/>
        <v>2079</v>
      </c>
      <c r="B56" cm="1">
        <f t="array" ref="B56">ProbPensionadoEnAnio("Masculino",A56,Hombres!$A$1:$DW$225,Mujeres!$A$1:$DW$117,Pensionados!$A$2:$G$166,'Empleados activos'!$A$2:$I$225)</f>
        <v>50.163551878675733</v>
      </c>
      <c r="C56" cm="1">
        <f t="array" ref="C56">ProbPensionadoEnAnio("Femenino",A56,Hombres!$A$1:$DW$225,Mujeres!$A$1:$DW$117,Pensionados!$A$2:$G$166,'Empleados activos'!$A$2:$I$225)</f>
        <v>60.183323983886076</v>
      </c>
      <c r="D56">
        <f t="shared" si="0"/>
        <v>110.3468758625618</v>
      </c>
    </row>
    <row r="57" spans="1:4" x14ac:dyDescent="0.35">
      <c r="A57">
        <f t="shared" si="1"/>
        <v>2080</v>
      </c>
      <c r="B57" cm="1">
        <f t="array" ref="B57">ProbPensionadoEnAnio("Masculino",A57,Hombres!$A$1:$DW$225,Mujeres!$A$1:$DW$117,Pensionados!$A$2:$G$166,'Empleados activos'!$A$2:$I$225)</f>
        <v>46.981765703875503</v>
      </c>
      <c r="C57" cm="1">
        <f t="array" ref="C57">ProbPensionadoEnAnio("Femenino",A57,Hombres!$A$1:$DW$225,Mujeres!$A$1:$DW$117,Pensionados!$A$2:$G$166,'Empleados activos'!$A$2:$I$225)</f>
        <v>56.620126727289083</v>
      </c>
      <c r="D57">
        <f t="shared" si="0"/>
        <v>103.60189243116459</v>
      </c>
    </row>
    <row r="58" spans="1:4" x14ac:dyDescent="0.35">
      <c r="A58">
        <f t="shared" si="1"/>
        <v>2081</v>
      </c>
      <c r="B58" cm="1">
        <f t="array" ref="B58">ProbPensionadoEnAnio("Masculino",A58,Hombres!$A$1:$DW$225,Mujeres!$A$1:$DW$117,Pensionados!$A$2:$G$166,'Empleados activos'!$A$2:$I$225)</f>
        <v>43.795753556908473</v>
      </c>
      <c r="C58" cm="1">
        <f t="array" ref="C58">ProbPensionadoEnAnio("Femenino",A58,Hombres!$A$1:$DW$225,Mujeres!$A$1:$DW$117,Pensionados!$A$2:$G$166,'Empleados activos'!$A$2:$I$225)</f>
        <v>53.012837591588223</v>
      </c>
      <c r="D58">
        <f t="shared" si="0"/>
        <v>96.808591148496703</v>
      </c>
    </row>
    <row r="59" spans="1:4" x14ac:dyDescent="0.35">
      <c r="A59">
        <f t="shared" si="1"/>
        <v>2082</v>
      </c>
      <c r="B59" cm="1">
        <f t="array" ref="B59">ProbPensionadoEnAnio("Masculino",A59,Hombres!$A$1:$DW$225,Mujeres!$A$1:$DW$117,Pensionados!$A$2:$G$166,'Empleados activos'!$A$2:$I$225)</f>
        <v>40.620801722218197</v>
      </c>
      <c r="C59" cm="1">
        <f t="array" ref="C59">ProbPensionadoEnAnio("Femenino",A59,Hombres!$A$1:$DW$225,Mujeres!$A$1:$DW$117,Pensionados!$A$2:$G$166,'Empleados activos'!$A$2:$I$225)</f>
        <v>49.383770607585951</v>
      </c>
      <c r="D59">
        <f t="shared" si="0"/>
        <v>90.004572329804148</v>
      </c>
    </row>
    <row r="60" spans="1:4" x14ac:dyDescent="0.35">
      <c r="A60">
        <f t="shared" si="1"/>
        <v>2083</v>
      </c>
      <c r="B60" cm="1">
        <f t="array" ref="B60">ProbPensionadoEnAnio("Masculino",A60,Hombres!$A$1:$DW$225,Mujeres!$A$1:$DW$117,Pensionados!$A$2:$G$166,'Empleados activos'!$A$2:$I$225)</f>
        <v>37.469937767976489</v>
      </c>
      <c r="C60" cm="1">
        <f t="array" ref="C60">ProbPensionadoEnAnio("Femenino",A60,Hombres!$A$1:$DW$225,Mujeres!$A$1:$DW$117,Pensionados!$A$2:$G$166,'Empleados activos'!$A$2:$I$225)</f>
        <v>45.753430502830923</v>
      </c>
      <c r="D60">
        <f t="shared" si="0"/>
        <v>83.223368270807413</v>
      </c>
    </row>
    <row r="61" spans="1:4" x14ac:dyDescent="0.35">
      <c r="A61">
        <f t="shared" si="1"/>
        <v>2084</v>
      </c>
      <c r="B61" cm="1">
        <f t="array" ref="B61">ProbPensionadoEnAnio("Masculino",A61,Hombres!$A$1:$DW$225,Mujeres!$A$1:$DW$117,Pensionados!$A$2:$G$166,'Empleados activos'!$A$2:$I$225)</f>
        <v>34.354608686282752</v>
      </c>
      <c r="C61" cm="1">
        <f t="array" ref="C61">ProbPensionadoEnAnio("Femenino",A61,Hombres!$A$1:$DW$225,Mujeres!$A$1:$DW$117,Pensionados!$A$2:$G$166,'Empleados activos'!$A$2:$I$225)</f>
        <v>42.140664932237982</v>
      </c>
      <c r="D61">
        <f t="shared" si="0"/>
        <v>76.495273618520741</v>
      </c>
    </row>
    <row r="62" spans="1:4" x14ac:dyDescent="0.35">
      <c r="A62">
        <f t="shared" si="1"/>
        <v>2085</v>
      </c>
      <c r="B62" cm="1">
        <f t="array" ref="B62">ProbPensionadoEnAnio("Masculino",A62,Hombres!$A$1:$DW$225,Mujeres!$A$1:$DW$117,Pensionados!$A$2:$G$166,'Empleados activos'!$A$2:$I$225)</f>
        <v>31.29640517105571</v>
      </c>
      <c r="C62" cm="1">
        <f t="array" ref="C62">ProbPensionadoEnAnio("Femenino",A62,Hombres!$A$1:$DW$225,Mujeres!$A$1:$DW$117,Pensionados!$A$2:$G$166,'Empleados activos'!$A$2:$I$225)</f>
        <v>38.567260254573078</v>
      </c>
      <c r="D62">
        <f t="shared" si="0"/>
        <v>69.863665425628795</v>
      </c>
    </row>
    <row r="63" spans="1:4" x14ac:dyDescent="0.35">
      <c r="A63">
        <f t="shared" si="1"/>
        <v>2086</v>
      </c>
      <c r="B63" cm="1">
        <f t="array" ref="B63">ProbPensionadoEnAnio("Masculino",A63,Hombres!$A$1:$DW$225,Mujeres!$A$1:$DW$117,Pensionados!$A$2:$G$166,'Empleados activos'!$A$2:$I$225)</f>
        <v>28.315712257385528</v>
      </c>
      <c r="C63" cm="1">
        <f t="array" ref="C63">ProbPensionadoEnAnio("Femenino",A63,Hombres!$A$1:$DW$225,Mujeres!$A$1:$DW$117,Pensionados!$A$2:$G$166,'Empleados activos'!$A$2:$I$225)</f>
        <v>35.056519830488995</v>
      </c>
      <c r="D63">
        <f t="shared" si="0"/>
        <v>63.372232087874522</v>
      </c>
    </row>
    <row r="64" spans="1:4" x14ac:dyDescent="0.35">
      <c r="A64">
        <f t="shared" si="1"/>
        <v>2087</v>
      </c>
      <c r="B64" cm="1">
        <f t="array" ref="B64">ProbPensionadoEnAnio("Masculino",A64,Hombres!$A$1:$DW$225,Mujeres!$A$1:$DW$117,Pensionados!$A$2:$G$166,'Empleados activos'!$A$2:$I$225)</f>
        <v>25.432047615331822</v>
      </c>
      <c r="C64" cm="1">
        <f t="array" ref="C64">ProbPensionadoEnAnio("Femenino",A64,Hombres!$A$1:$DW$225,Mujeres!$A$1:$DW$117,Pensionados!$A$2:$G$166,'Empleados activos'!$A$2:$I$225)</f>
        <v>31.630344742119231</v>
      </c>
      <c r="D64">
        <f t="shared" si="0"/>
        <v>57.062392357451053</v>
      </c>
    </row>
    <row r="65" spans="1:4" x14ac:dyDescent="0.35">
      <c r="A65">
        <f t="shared" si="1"/>
        <v>2088</v>
      </c>
      <c r="B65" cm="1">
        <f t="array" ref="B65">ProbPensionadoEnAnio("Masculino",A65,Hombres!$A$1:$DW$225,Mujeres!$A$1:$DW$117,Pensionados!$A$2:$G$166,'Empleados activos'!$A$2:$I$225)</f>
        <v>22.663544016809912</v>
      </c>
      <c r="C65" cm="1">
        <f t="array" ref="C65">ProbPensionadoEnAnio("Femenino",A65,Hombres!$A$1:$DW$225,Mujeres!$A$1:$DW$117,Pensionados!$A$2:$G$166,'Empleados activos'!$A$2:$I$225)</f>
        <v>28.309252922120237</v>
      </c>
      <c r="D65">
        <f t="shared" si="0"/>
        <v>50.972796938930145</v>
      </c>
    </row>
    <row r="66" spans="1:4" x14ac:dyDescent="0.35">
      <c r="A66">
        <f t="shared" si="1"/>
        <v>2089</v>
      </c>
      <c r="B66" cm="1">
        <f t="array" ref="B66">ProbPensionadoEnAnio("Masculino",A66,Hombres!$A$1:$DW$225,Mujeres!$A$1:$DW$117,Pensionados!$A$2:$G$166,'Empleados activos'!$A$2:$I$225)</f>
        <v>20.028170885107716</v>
      </c>
      <c r="C66" cm="1">
        <f t="array" ref="C66">ProbPensionadoEnAnio("Femenino",A66,Hombres!$A$1:$DW$225,Mujeres!$A$1:$DW$117,Pensionados!$A$2:$G$166,'Empleados activos'!$A$2:$I$225)</f>
        <v>25.1140724519103</v>
      </c>
      <c r="D66">
        <f t="shared" si="0"/>
        <v>45.142243337018016</v>
      </c>
    </row>
    <row r="67" spans="1:4" x14ac:dyDescent="0.35">
      <c r="A67">
        <f t="shared" si="1"/>
        <v>2090</v>
      </c>
      <c r="B67" cm="1">
        <f t="array" ref="B67">ProbPensionadoEnAnio("Masculino",A67,Hombres!$A$1:$DW$225,Mujeres!$A$1:$DW$117,Pensionados!$A$2:$G$166,'Empleados activos'!$A$2:$I$225)</f>
        <v>17.544352886413876</v>
      </c>
      <c r="C67" cm="1">
        <f t="array" ref="C67">ProbPensionadoEnAnio("Femenino",A67,Hombres!$A$1:$DW$225,Mujeres!$A$1:$DW$117,Pensionados!$A$2:$G$166,'Empleados activos'!$A$2:$I$225)</f>
        <v>22.06720608206658</v>
      </c>
      <c r="D67">
        <f t="shared" ref="D67:D96" si="2">B67+C67</f>
        <v>39.611558968480452</v>
      </c>
    </row>
    <row r="68" spans="1:4" x14ac:dyDescent="0.35">
      <c r="A68">
        <f t="shared" ref="A68:A96" si="3">A67+1</f>
        <v>2091</v>
      </c>
      <c r="B68" cm="1">
        <f t="array" ref="B68">ProbPensionadoEnAnio("Masculino",A68,Hombres!$A$1:$DW$225,Mujeres!$A$1:$DW$117,Pensionados!$A$2:$G$166,'Empleados activos'!$A$2:$I$225)</f>
        <v>15.228834395637108</v>
      </c>
      <c r="C68" cm="1">
        <f t="array" ref="C68">ProbPensionadoEnAnio("Femenino",A68,Hombres!$A$1:$DW$225,Mujeres!$A$1:$DW$117,Pensionados!$A$2:$G$166,'Empleados activos'!$A$2:$I$225)</f>
        <v>19.190558294882958</v>
      </c>
      <c r="D68">
        <f t="shared" si="2"/>
        <v>34.41939269052007</v>
      </c>
    </row>
    <row r="69" spans="1:4" x14ac:dyDescent="0.35">
      <c r="A69">
        <f t="shared" si="3"/>
        <v>2092</v>
      </c>
      <c r="B69" cm="1">
        <f t="array" ref="B69">ProbPensionadoEnAnio("Masculino",A69,Hombres!$A$1:$DW$225,Mujeres!$A$1:$DW$117,Pensionados!$A$2:$G$166,'Empleados activos'!$A$2:$I$225)</f>
        <v>13.094040438299375</v>
      </c>
      <c r="C69" cm="1">
        <f t="array" ref="C69">ProbPensionadoEnAnio("Femenino",A69,Hombres!$A$1:$DW$225,Mujeres!$A$1:$DW$117,Pensionados!$A$2:$G$166,'Empleados activos'!$A$2:$I$225)</f>
        <v>16.502748424679393</v>
      </c>
      <c r="D69">
        <f t="shared" si="2"/>
        <v>29.596788862978769</v>
      </c>
    </row>
    <row r="70" spans="1:4" x14ac:dyDescent="0.35">
      <c r="A70">
        <f t="shared" si="3"/>
        <v>2093</v>
      </c>
      <c r="B70" cm="1">
        <f t="array" ref="B70">ProbPensionadoEnAnio("Masculino",A70,Hombres!$A$1:$DW$225,Mujeres!$A$1:$DW$117,Pensionados!$A$2:$G$166,'Empleados activos'!$A$2:$I$225)</f>
        <v>11.147594218439812</v>
      </c>
      <c r="C70" cm="1">
        <f t="array" ref="C70">ProbPensionadoEnAnio("Femenino",A70,Hombres!$A$1:$DW$225,Mujeres!$A$1:$DW$117,Pensionados!$A$2:$G$166,'Empleados activos'!$A$2:$I$225)</f>
        <v>14.018685465871178</v>
      </c>
      <c r="D70">
        <f t="shared" si="2"/>
        <v>25.166279684310989</v>
      </c>
    </row>
    <row r="71" spans="1:4" x14ac:dyDescent="0.35">
      <c r="A71">
        <f t="shared" si="3"/>
        <v>2094</v>
      </c>
      <c r="B71" cm="1">
        <f t="array" ref="B71">ProbPensionadoEnAnio("Masculino",A71,Hombres!$A$1:$DW$225,Mujeres!$A$1:$DW$117,Pensionados!$A$2:$G$166,'Empleados activos'!$A$2:$I$225)</f>
        <v>9.3931181581594263</v>
      </c>
      <c r="C71" cm="1">
        <f t="array" ref="C71">ProbPensionadoEnAnio("Femenino",A71,Hombres!$A$1:$DW$225,Mujeres!$A$1:$DW$117,Pensionados!$A$2:$G$166,'Empleados activos'!$A$2:$I$225)</f>
        <v>11.75032783178594</v>
      </c>
      <c r="D71">
        <f t="shared" si="2"/>
        <v>21.143445989945366</v>
      </c>
    </row>
    <row r="72" spans="1:4" x14ac:dyDescent="0.35">
      <c r="A72">
        <f t="shared" si="3"/>
        <v>2095</v>
      </c>
      <c r="B72" cm="1">
        <f t="array" ref="B72">ProbPensionadoEnAnio("Masculino",A72,Hombres!$A$1:$DW$225,Mujeres!$A$1:$DW$117,Pensionados!$A$2:$G$166,'Empleados activos'!$A$2:$I$225)</f>
        <v>7.8307990817228337</v>
      </c>
      <c r="C72" cm="1">
        <f t="array" ref="C72">ProbPensionadoEnAnio("Femenino",A72,Hombres!$A$1:$DW$225,Mujeres!$A$1:$DW$117,Pensionados!$A$2:$G$166,'Empleados activos'!$A$2:$I$225)</f>
        <v>9.706989179604566</v>
      </c>
      <c r="D72">
        <f t="shared" si="2"/>
        <v>17.5377882613274</v>
      </c>
    </row>
    <row r="73" spans="1:4" x14ac:dyDescent="0.35">
      <c r="A73">
        <f t="shared" si="3"/>
        <v>2096</v>
      </c>
      <c r="B73" cm="1">
        <f t="array" ref="B73">ProbPensionadoEnAnio("Masculino",A73,Hombres!$A$1:$DW$225,Mujeres!$A$1:$DW$117,Pensionados!$A$2:$G$166,'Empleados activos'!$A$2:$I$225)</f>
        <v>6.4567201208577245</v>
      </c>
      <c r="C73" cm="1">
        <f t="array" ref="C73">ProbPensionadoEnAnio("Femenino",A73,Hombres!$A$1:$DW$225,Mujeres!$A$1:$DW$117,Pensionados!$A$2:$G$166,'Empleados activos'!$A$2:$I$225)</f>
        <v>7.8938033287657783</v>
      </c>
      <c r="D73">
        <f t="shared" si="2"/>
        <v>14.350523449623502</v>
      </c>
    </row>
    <row r="74" spans="1:4" x14ac:dyDescent="0.35">
      <c r="A74">
        <f t="shared" si="3"/>
        <v>2097</v>
      </c>
      <c r="B74" cm="1">
        <f t="array" ref="B74">ProbPensionadoEnAnio("Masculino",A74,Hombres!$A$1:$DW$225,Mujeres!$A$1:$DW$117,Pensionados!$A$2:$G$166,'Empleados activos'!$A$2:$I$225)</f>
        <v>5.2624292226707814</v>
      </c>
      <c r="C74" cm="1">
        <f t="array" ref="C74">ProbPensionadoEnAnio("Femenino",A74,Hombres!$A$1:$DW$225,Mujeres!$A$1:$DW$117,Pensionados!$A$2:$G$166,'Empleados activos'!$A$2:$I$225)</f>
        <v>6.310312072650988</v>
      </c>
      <c r="D74">
        <f t="shared" si="2"/>
        <v>11.572741295321769</v>
      </c>
    </row>
    <row r="75" spans="1:4" x14ac:dyDescent="0.35">
      <c r="A75">
        <f t="shared" si="3"/>
        <v>2098</v>
      </c>
      <c r="B75" cm="1">
        <f t="array" ref="B75">ProbPensionadoEnAnio("Masculino",A75,Hombres!$A$1:$DW$225,Mujeres!$A$1:$DW$117,Pensionados!$A$2:$G$166,'Empleados activos'!$A$2:$I$225)</f>
        <v>4.236098147552303</v>
      </c>
      <c r="C75" cm="1">
        <f t="array" ref="C75">ProbPensionadoEnAnio("Femenino",A75,Hombres!$A$1:$DW$225,Mujeres!$A$1:$DW$117,Pensionados!$A$2:$G$166,'Empleados activos'!$A$2:$I$225)</f>
        <v>4.9506676939760297</v>
      </c>
      <c r="D75">
        <f t="shared" si="2"/>
        <v>9.1867658415283326</v>
      </c>
    </row>
    <row r="76" spans="1:4" x14ac:dyDescent="0.35">
      <c r="A76">
        <f t="shared" si="3"/>
        <v>2099</v>
      </c>
      <c r="B76" cm="1">
        <f t="array" ref="B76">ProbPensionadoEnAnio("Masculino",A76,Hombres!$A$1:$DW$225,Mujeres!$A$1:$DW$117,Pensionados!$A$2:$G$166,'Empleados activos'!$A$2:$I$225)</f>
        <v>3.3640649211851015</v>
      </c>
      <c r="C76" cm="1">
        <f t="array" ref="C76">ProbPensionadoEnAnio("Femenino",A76,Hombres!$A$1:$DW$225,Mujeres!$A$1:$DW$117,Pensionados!$A$2:$G$166,'Empleados activos'!$A$2:$I$225)</f>
        <v>3.8045101896000482</v>
      </c>
      <c r="D76">
        <f t="shared" si="2"/>
        <v>7.1685751107851496</v>
      </c>
    </row>
    <row r="77" spans="1:4" x14ac:dyDescent="0.35">
      <c r="A77">
        <f t="shared" si="3"/>
        <v>2100</v>
      </c>
      <c r="B77" cm="1">
        <f t="array" ref="B77">ProbPensionadoEnAnio("Masculino",A77,Hombres!$A$1:$DW$225,Mujeres!$A$1:$DW$117,Pensionados!$A$2:$G$166,'Empleados activos'!$A$2:$I$225)</f>
        <v>2.6321325416804497</v>
      </c>
      <c r="C77" cm="1">
        <f t="array" ref="C77">ProbPensionadoEnAnio("Femenino",A77,Hombres!$A$1:$DW$225,Mujeres!$A$1:$DW$117,Pensionados!$A$2:$G$166,'Empleados activos'!$A$2:$I$225)</f>
        <v>2.8577128522909474</v>
      </c>
      <c r="D77">
        <f t="shared" si="2"/>
        <v>5.4898453939713967</v>
      </c>
    </row>
    <row r="78" spans="1:4" x14ac:dyDescent="0.35">
      <c r="A78">
        <f t="shared" si="3"/>
        <v>2101</v>
      </c>
      <c r="B78" cm="1">
        <f t="array" ref="B78">ProbPensionadoEnAnio("Masculino",A78,Hombres!$A$1:$DW$225,Mujeres!$A$1:$DW$117,Pensionados!$A$2:$G$166,'Empleados activos'!$A$2:$I$225)</f>
        <v>2.0258762786550792</v>
      </c>
      <c r="C78" cm="1">
        <f t="array" ref="C78">ProbPensionadoEnAnio("Femenino",A78,Hombres!$A$1:$DW$225,Mujeres!$A$1:$DW$117,Pensionados!$A$2:$G$166,'Empleados activos'!$A$2:$I$225)</f>
        <v>2.0926843866954616</v>
      </c>
      <c r="D78">
        <f t="shared" si="2"/>
        <v>4.1185606653505413</v>
      </c>
    </row>
    <row r="79" spans="1:4" x14ac:dyDescent="0.35">
      <c r="A79">
        <f t="shared" si="3"/>
        <v>2102</v>
      </c>
      <c r="B79" cm="1">
        <f t="array" ref="B79">ProbPensionadoEnAnio("Masculino",A79,Hombres!$A$1:$DW$225,Mujeres!$A$1:$DW$117,Pensionados!$A$2:$G$166,'Empleados activos'!$A$2:$I$225)</f>
        <v>1.5308417875288804</v>
      </c>
      <c r="C79" cm="1">
        <f t="array" ref="C79">ProbPensionadoEnAnio("Femenino",A79,Hombres!$A$1:$DW$225,Mujeres!$A$1:$DW$117,Pensionados!$A$2:$G$166,'Empleados activos'!$A$2:$I$225)</f>
        <v>1.4891286762916613</v>
      </c>
      <c r="D79">
        <f t="shared" si="2"/>
        <v>3.0199704638205418</v>
      </c>
    </row>
    <row r="80" spans="1:4" x14ac:dyDescent="0.35">
      <c r="A80">
        <f t="shared" si="3"/>
        <v>2103</v>
      </c>
      <c r="B80" cm="1">
        <f t="array" ref="B80">ProbPensionadoEnAnio("Masculino",A80,Hombres!$A$1:$DW$225,Mujeres!$A$1:$DW$117,Pensionados!$A$2:$G$166,'Empleados activos'!$A$2:$I$225)</f>
        <v>1.133011607143372</v>
      </c>
      <c r="C80" cm="1">
        <f t="array" ref="C80">ProbPensionadoEnAnio("Femenino",A80,Hombres!$A$1:$DW$225,Mujeres!$A$1:$DW$117,Pensionados!$A$2:$G$166,'Empleados activos'!$A$2:$I$225)</f>
        <v>1.0254066087130773</v>
      </c>
      <c r="D80">
        <f t="shared" si="2"/>
        <v>2.1584182158564493</v>
      </c>
    </row>
    <row r="81" spans="1:4" x14ac:dyDescent="0.35">
      <c r="A81">
        <f t="shared" si="3"/>
        <v>2104</v>
      </c>
      <c r="B81" cm="1">
        <f t="array" ref="B81">ProbPensionadoEnAnio("Masculino",A81,Hombres!$A$1:$DW$225,Mujeres!$A$1:$DW$117,Pensionados!$A$2:$G$166,'Empleados activos'!$A$2:$I$225)</f>
        <v>0.81918590713496675</v>
      </c>
      <c r="C81" cm="1">
        <f t="array" ref="C81">ProbPensionadoEnAnio("Femenino",A81,Hombres!$A$1:$DW$225,Mujeres!$A$1:$DW$117,Pensionados!$A$2:$G$166,'Empleados activos'!$A$2:$I$225)</f>
        <v>0.67977318522436081</v>
      </c>
      <c r="D81">
        <f t="shared" si="2"/>
        <v>1.4989590923593274</v>
      </c>
    </row>
    <row r="82" spans="1:4" x14ac:dyDescent="0.35">
      <c r="A82">
        <f t="shared" si="3"/>
        <v>2105</v>
      </c>
      <c r="B82" cm="1">
        <f t="array" ref="B82">ProbPensionadoEnAnio("Masculino",A82,Hombres!$A$1:$DW$225,Mujeres!$A$1:$DW$117,Pensionados!$A$2:$G$166,'Empleados activos'!$A$2:$I$225)</f>
        <v>0.57700269568309648</v>
      </c>
      <c r="C82" cm="1">
        <f t="array" ref="C82">ProbPensionadoEnAnio("Femenino",A82,Hombres!$A$1:$DW$225,Mujeres!$A$1:$DW$117,Pensionados!$A$2:$G$166,'Empleados activos'!$A$2:$I$225)</f>
        <v>0.43118243236259451</v>
      </c>
      <c r="D82">
        <f t="shared" si="2"/>
        <v>1.008185128045691</v>
      </c>
    </row>
    <row r="83" spans="1:4" x14ac:dyDescent="0.35">
      <c r="A83">
        <f t="shared" si="3"/>
        <v>2106</v>
      </c>
      <c r="B83" cm="1">
        <f t="array" ref="B83">ProbPensionadoEnAnio("Masculino",A83,Hombres!$A$1:$DW$225,Mujeres!$A$1:$DW$117,Pensionados!$A$2:$G$166,'Empleados activos'!$A$2:$I$225)</f>
        <v>0.3947899995462279</v>
      </c>
      <c r="C83" cm="1">
        <f t="array" ref="C83">ProbPensionadoEnAnio("Femenino",A83,Hombres!$A$1:$DW$225,Mujeres!$A$1:$DW$117,Pensionados!$A$2:$G$166,'Empleados activos'!$A$2:$I$225)</f>
        <v>0.25975667895174737</v>
      </c>
      <c r="D83">
        <f t="shared" si="2"/>
        <v>0.65454667849797521</v>
      </c>
    </row>
    <row r="84" spans="1:4" x14ac:dyDescent="0.35">
      <c r="A84">
        <f t="shared" si="3"/>
        <v>2107</v>
      </c>
      <c r="B84" cm="1">
        <f t="array" ref="B84">ProbPensionadoEnAnio("Masculino",A84,Hombres!$A$1:$DW$225,Mujeres!$A$1:$DW$117,Pensionados!$A$2:$G$166,'Empleados activos'!$A$2:$I$225)</f>
        <v>0.2615276133502108</v>
      </c>
      <c r="C84" cm="1">
        <f t="array" ref="C84">ProbPensionadoEnAnio("Femenino",A84,Hombres!$A$1:$DW$225,Mujeres!$A$1:$DW$117,Pensionados!$A$2:$G$166,'Empleados activos'!$A$2:$I$225)</f>
        <v>0.147277580235323</v>
      </c>
      <c r="D84">
        <f t="shared" si="2"/>
        <v>0.4088051935855338</v>
      </c>
    </row>
    <row r="85" spans="1:4" x14ac:dyDescent="0.35">
      <c r="A85">
        <f t="shared" si="3"/>
        <v>2108</v>
      </c>
      <c r="B85" cm="1">
        <f t="array" ref="B85">ProbPensionadoEnAnio("Masculino",A85,Hombres!$A$1:$DW$225,Mujeres!$A$1:$DW$117,Pensionados!$A$2:$G$166,'Empleados activos'!$A$2:$I$225)</f>
        <v>0.16712064480123007</v>
      </c>
      <c r="C85" cm="1">
        <f t="array" ref="C85">ProbPensionadoEnAnio("Femenino",A85,Hombres!$A$1:$DW$225,Mujeres!$A$1:$DW$117,Pensionados!$A$2:$G$166,'Empleados activos'!$A$2:$I$225)</f>
        <v>7.7717857873725829E-2</v>
      </c>
      <c r="D85">
        <f t="shared" si="2"/>
        <v>0.24483850267495588</v>
      </c>
    </row>
    <row r="86" spans="1:4" x14ac:dyDescent="0.35">
      <c r="A86">
        <f t="shared" si="3"/>
        <v>2109</v>
      </c>
      <c r="B86" cm="1">
        <f t="array" ref="B86">ProbPensionadoEnAnio("Masculino",A86,Hombres!$A$1:$DW$225,Mujeres!$A$1:$DW$117,Pensionados!$A$2:$G$166,'Empleados activos'!$A$2:$I$225)</f>
        <v>0.10254789984043647</v>
      </c>
      <c r="C86" cm="1">
        <f t="array" ref="C86">ProbPensionadoEnAnio("Femenino",A86,Hombres!$A$1:$DW$225,Mujeres!$A$1:$DW$117,Pensionados!$A$2:$G$166,'Empleados activos'!$A$2:$I$225)</f>
        <v>3.7650244955361754E-2</v>
      </c>
      <c r="D86">
        <f t="shared" si="2"/>
        <v>0.14019814479579823</v>
      </c>
    </row>
    <row r="87" spans="1:4" x14ac:dyDescent="0.35">
      <c r="A87">
        <f t="shared" si="3"/>
        <v>2110</v>
      </c>
      <c r="B87" cm="1">
        <f t="array" ref="B87">ProbPensionadoEnAnio("Masculino",A87,Hombres!$A$1:$DW$225,Mujeres!$A$1:$DW$117,Pensionados!$A$2:$G$166,'Empleados activos'!$A$2:$I$225)</f>
        <v>6.0111125258902581E-2</v>
      </c>
      <c r="C87" cm="1">
        <f t="array" ref="C87">ProbPensionadoEnAnio("Femenino",A87,Hombres!$A$1:$DW$225,Mujeres!$A$1:$DW$117,Pensionados!$A$2:$G$166,'Empleados activos'!$A$2:$I$225)</f>
        <v>1.6463123648849404E-2</v>
      </c>
      <c r="D87">
        <f t="shared" si="2"/>
        <v>7.6574248907751982E-2</v>
      </c>
    </row>
    <row r="88" spans="1:4" x14ac:dyDescent="0.35">
      <c r="A88">
        <f t="shared" si="3"/>
        <v>2111</v>
      </c>
      <c r="B88" cm="1">
        <f t="array" ref="B88">ProbPensionadoEnAnio("Masculino",A88,Hombres!$A$1:$DW$225,Mujeres!$A$1:$DW$117,Pensionados!$A$2:$G$166,'Empleados activos'!$A$2:$I$225)</f>
        <v>3.3450570982652444E-2</v>
      </c>
      <c r="C88" cm="1">
        <f t="array" ref="C88">ProbPensionadoEnAnio("Femenino",A88,Hombres!$A$1:$DW$225,Mujeres!$A$1:$DW$117,Pensionados!$A$2:$G$166,'Empleados activos'!$A$2:$I$225)</f>
        <v>6.3594313657416579E-3</v>
      </c>
      <c r="D88">
        <f t="shared" si="2"/>
        <v>3.9810002348394102E-2</v>
      </c>
    </row>
    <row r="89" spans="1:4" x14ac:dyDescent="0.35">
      <c r="A89">
        <f t="shared" si="3"/>
        <v>2112</v>
      </c>
      <c r="B89" cm="1">
        <f t="array" ref="B89">ProbPensionadoEnAnio("Masculino",A89,Hombres!$A$1:$DW$225,Mujeres!$A$1:$DW$117,Pensionados!$A$2:$G$166,'Empleados activos'!$A$2:$I$225)</f>
        <v>1.7533315846376855E-2</v>
      </c>
      <c r="C89" cm="1">
        <f t="array" ref="C89">ProbPensionadoEnAnio("Femenino",A89,Hombres!$A$1:$DW$225,Mujeres!$A$1:$DW$117,Pensionados!$A$2:$G$166,'Empleados activos'!$A$2:$I$225)</f>
        <v>2.1095770971365255E-3</v>
      </c>
      <c r="D89">
        <f t="shared" si="2"/>
        <v>1.9642892943513381E-2</v>
      </c>
    </row>
    <row r="90" spans="1:4" x14ac:dyDescent="0.35">
      <c r="A90">
        <f t="shared" si="3"/>
        <v>2113</v>
      </c>
      <c r="B90" cm="1">
        <f t="array" ref="B90">ProbPensionadoEnAnio("Masculino",A90,Hombres!$A$1:$DW$225,Mujeres!$A$1:$DW$117,Pensionados!$A$2:$G$166,'Empleados activos'!$A$2:$I$225)</f>
        <v>8.5615323815127261E-3</v>
      </c>
      <c r="C90" cm="1">
        <f t="array" ref="C90">ProbPensionadoEnAnio("Femenino",A90,Hombres!$A$1:$DW$225,Mujeres!$A$1:$DW$117,Pensionados!$A$2:$G$166,'Empleados activos'!$A$2:$I$225)</f>
        <v>5.7804887612545014E-4</v>
      </c>
      <c r="D90">
        <f t="shared" si="2"/>
        <v>9.1395812576381755E-3</v>
      </c>
    </row>
    <row r="91" spans="1:4" x14ac:dyDescent="0.35">
      <c r="A91">
        <f t="shared" si="3"/>
        <v>2114</v>
      </c>
      <c r="B91" cm="1">
        <f t="array" ref="B91">ProbPensionadoEnAnio("Masculino",A91,Hombres!$A$1:$DW$225,Mujeres!$A$1:$DW$117,Pensionados!$A$2:$G$166,'Empleados activos'!$A$2:$I$225)</f>
        <v>3.8332524563641276E-3</v>
      </c>
      <c r="C91" cm="1">
        <f t="array" ref="C91">ProbPensionadoEnAnio("Femenino",A91,Hombres!$A$1:$DW$225,Mujeres!$A$1:$DW$117,Pensionados!$A$2:$G$166,'Empleados activos'!$A$2:$I$225)</f>
        <v>1.2338576017683028E-4</v>
      </c>
      <c r="D91">
        <f t="shared" si="2"/>
        <v>3.9566382165409581E-3</v>
      </c>
    </row>
    <row r="92" spans="1:4" x14ac:dyDescent="0.35">
      <c r="A92">
        <f t="shared" si="3"/>
        <v>2115</v>
      </c>
      <c r="B92" cm="1">
        <f t="array" ref="B92">ProbPensionadoEnAnio("Masculino",A92,Hombres!$A$1:$DW$225,Mujeres!$A$1:$DW$117,Pensionados!$A$2:$G$166,'Empleados activos'!$A$2:$I$225)</f>
        <v>1.5626354033974022E-3</v>
      </c>
      <c r="C92" cm="1">
        <f t="array" ref="C92">ProbPensionadoEnAnio("Femenino",A92,Hombres!$A$1:$DW$225,Mujeres!$A$1:$DW$117,Pensionados!$A$2:$G$166,'Empleados activos'!$A$2:$I$225)</f>
        <v>1.8616180979094347E-5</v>
      </c>
      <c r="D92">
        <f t="shared" si="2"/>
        <v>1.5812515843764965E-3</v>
      </c>
    </row>
    <row r="93" spans="1:4" x14ac:dyDescent="0.35">
      <c r="A93">
        <f t="shared" si="3"/>
        <v>2116</v>
      </c>
      <c r="B93" cm="1">
        <f t="array" ref="B93">ProbPensionadoEnAnio("Masculino",A93,Hombres!$A$1:$DW$225,Mujeres!$A$1:$DW$117,Pensionados!$A$2:$G$166,'Empleados activos'!$A$2:$I$225)</f>
        <v>5.6238862782189184E-4</v>
      </c>
      <c r="C93" cm="1">
        <f t="array" ref="C93">ProbPensionadoEnAnio("Femenino",A93,Hombres!$A$1:$DW$225,Mujeres!$A$1:$DW$117,Pensionados!$A$2:$G$166,'Empleados activos'!$A$2:$I$225)</f>
        <v>1.5444588584630677E-6</v>
      </c>
      <c r="D93">
        <f t="shared" si="2"/>
        <v>5.6393308668035492E-4</v>
      </c>
    </row>
    <row r="94" spans="1:4" x14ac:dyDescent="0.35">
      <c r="A94">
        <f t="shared" si="3"/>
        <v>2117</v>
      </c>
      <c r="B94" cm="1">
        <f t="array" ref="B94">ProbPensionadoEnAnio("Masculino",A94,Hombres!$A$1:$DW$225,Mujeres!$A$1:$DW$117,Pensionados!$A$2:$G$166,'Empleados activos'!$A$2:$I$225)</f>
        <v>1.7463833305763262E-4</v>
      </c>
      <c r="C94" cm="1">
        <f t="array" ref="C94">ProbPensionadoEnAnio("Femenino",A94,Hombres!$A$1:$DW$225,Mujeres!$A$1:$DW$117,Pensionados!$A$2:$G$166,'Empleados activos'!$A$2:$I$225)</f>
        <v>0</v>
      </c>
      <c r="D94">
        <f t="shared" si="2"/>
        <v>1.7463833305763262E-4</v>
      </c>
    </row>
    <row r="95" spans="1:4" x14ac:dyDescent="0.35">
      <c r="A95">
        <f t="shared" si="3"/>
        <v>2118</v>
      </c>
      <c r="B95" cm="1">
        <f t="array" ref="B95">ProbPensionadoEnAnio("Masculino",A95,Hombres!$A$1:$DW$225,Mujeres!$A$1:$DW$117,Pensionados!$A$2:$G$166,'Empleados activos'!$A$2:$I$225)</f>
        <v>4.3293508371404686E-5</v>
      </c>
      <c r="C95" cm="1">
        <f t="array" ref="C95">ProbPensionadoEnAnio("Femenino",A95,Hombres!$A$1:$DW$225,Mujeres!$A$1:$DW$117,Pensionados!$A$2:$G$166,'Empleados activos'!$A$2:$I$225)</f>
        <v>0</v>
      </c>
      <c r="D95">
        <f t="shared" si="2"/>
        <v>4.3293508371404686E-5</v>
      </c>
    </row>
    <row r="96" spans="1:4" x14ac:dyDescent="0.35">
      <c r="A96">
        <f t="shared" si="3"/>
        <v>2119</v>
      </c>
      <c r="B96" cm="1">
        <f t="array" ref="B96">ProbPensionadoEnAnio("Masculino",A96,Hombres!$A$1:$DW$225,Mujeres!$A$1:$DW$117,Pensionados!$A$2:$G$166,'Empleados activos'!$A$2:$I$225)</f>
        <v>0</v>
      </c>
      <c r="C96" cm="1">
        <f t="array" ref="C96">ProbPensionadoEnAnio("Femenino",A96,Hombres!$A$1:$DW$225,Mujeres!$A$1:$DW$117,Pensionados!$A$2:$G$166,'Empleados activos'!$A$2:$I$225)</f>
        <v>0</v>
      </c>
      <c r="D96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D96"/>
  <sheetViews>
    <sheetView workbookViewId="0">
      <selection activeCell="C1" sqref="C1"/>
    </sheetView>
  </sheetViews>
  <sheetFormatPr baseColWidth="10" defaultRowHeight="14.5" x14ac:dyDescent="0.35"/>
  <cols>
    <col min="4" max="4" width="27.7265625" customWidth="1"/>
  </cols>
  <sheetData>
    <row r="1" spans="1:4" x14ac:dyDescent="0.35">
      <c r="A1" s="31" t="s">
        <v>18</v>
      </c>
      <c r="B1" s="31" t="s">
        <v>5</v>
      </c>
      <c r="C1" s="32" t="s">
        <v>6</v>
      </c>
      <c r="D1" s="31" t="s">
        <v>21</v>
      </c>
    </row>
    <row r="2" spans="1:4" x14ac:dyDescent="0.35">
      <c r="A2">
        <v>2025</v>
      </c>
      <c r="B2" cm="1">
        <f t="array" ref="B2">MuertesPensionadosEnAnio("Masculino",A2,Hombres!$A$1:$DW$225,Mujeres!$A$1:$DW$117,Pensionados!$A$2:$G$166,'Empleados activos'!$A$2:$I$225)</f>
        <v>2.4410504000000008</v>
      </c>
      <c r="C2" cm="1">
        <f t="array" ref="C2">MuertesPensionadosEnAnio("Femenino",A2,Hombres!$A$1:$DW$225,Mujeres!$A$1:$DW$117,Pensionados!$A$2:$G$166,'Empleados activos'!$A$2:$I$225)</f>
        <v>1.9961580999999997</v>
      </c>
      <c r="D2">
        <f>B2+C2</f>
        <v>4.4372085000000006</v>
      </c>
    </row>
    <row r="3" spans="1:4" x14ac:dyDescent="0.35">
      <c r="A3">
        <f>A2+1</f>
        <v>2026</v>
      </c>
      <c r="B3" cm="1">
        <f t="array" ref="B3">MuertesPensionadosEnAnio("Masculino",A3,Hombres!$A$1:$DW$225,Mujeres!$A$1:$DW$117,Pensionados!$A$2:$G$166,'Empleados activos'!$A$2:$I$225)</f>
        <v>2.4676221513569585</v>
      </c>
      <c r="C3" cm="1">
        <f t="array" ref="C3">MuertesPensionadosEnAnio("Femenino",A3,Hombres!$A$1:$DW$225,Mujeres!$A$1:$DW$117,Pensionados!$A$2:$G$166,'Empleados activos'!$A$2:$I$225)</f>
        <v>2.1012192062439925</v>
      </c>
      <c r="D3">
        <f t="shared" ref="D3:D66" si="0">B3+C3</f>
        <v>4.5688413576009506</v>
      </c>
    </row>
    <row r="4" spans="1:4" x14ac:dyDescent="0.35">
      <c r="A4">
        <f t="shared" ref="A4:A67" si="1">A3+1</f>
        <v>2027</v>
      </c>
      <c r="B4" cm="1">
        <f t="array" ref="B4">MuertesPensionadosEnAnio("Masculino",A4,Hombres!$A$1:$DW$225,Mujeres!$A$1:$DW$117,Pensionados!$A$2:$G$166,'Empleados activos'!$A$2:$I$225)</f>
        <v>2.4954275960901877</v>
      </c>
      <c r="C4" cm="1">
        <f t="array" ref="C4">MuertesPensionadosEnAnio("Femenino",A4,Hombres!$A$1:$DW$225,Mujeres!$A$1:$DW$117,Pensionados!$A$2:$G$166,'Empleados activos'!$A$2:$I$225)</f>
        <v>2.2033029609723873</v>
      </c>
      <c r="D4">
        <f t="shared" si="0"/>
        <v>4.698730557062575</v>
      </c>
    </row>
    <row r="5" spans="1:4" x14ac:dyDescent="0.35">
      <c r="A5">
        <f t="shared" si="1"/>
        <v>2028</v>
      </c>
      <c r="B5" cm="1">
        <f t="array" ref="B5">MuertesPensionadosEnAnio("Masculino",A5,Hombres!$A$1:$DW$225,Mujeres!$A$1:$DW$117,Pensionados!$A$2:$G$166,'Empleados activos'!$A$2:$I$225)</f>
        <v>2.5325795275045087</v>
      </c>
      <c r="C5" cm="1">
        <f t="array" ref="C5">MuertesPensionadosEnAnio("Femenino",A5,Hombres!$A$1:$DW$225,Mujeres!$A$1:$DW$117,Pensionados!$A$2:$G$166,'Empleados activos'!$A$2:$I$225)</f>
        <v>2.3087564454099838</v>
      </c>
      <c r="D5">
        <f t="shared" si="0"/>
        <v>4.8413359729144929</v>
      </c>
    </row>
    <row r="6" spans="1:4" x14ac:dyDescent="0.35">
      <c r="A6">
        <f t="shared" si="1"/>
        <v>2029</v>
      </c>
      <c r="B6" cm="1">
        <f t="array" ref="B6">MuertesPensionadosEnAnio("Masculino",A6,Hombres!$A$1:$DW$225,Mujeres!$A$1:$DW$117,Pensionados!$A$2:$G$166,'Empleados activos'!$A$2:$I$225)</f>
        <v>2.5587654973716192</v>
      </c>
      <c r="C6" cm="1">
        <f t="array" ref="C6">MuertesPensionadosEnAnio("Femenino",A6,Hombres!$A$1:$DW$225,Mujeres!$A$1:$DW$117,Pensionados!$A$2:$G$166,'Empleados activos'!$A$2:$I$225)</f>
        <v>2.4084286305305063</v>
      </c>
      <c r="D6">
        <f t="shared" si="0"/>
        <v>4.9671941279021254</v>
      </c>
    </row>
    <row r="7" spans="1:4" x14ac:dyDescent="0.35">
      <c r="A7">
        <f t="shared" si="1"/>
        <v>2030</v>
      </c>
      <c r="B7" cm="1">
        <f t="array" ref="B7">MuertesPensionadosEnAnio("Masculino",A7,Hombres!$A$1:$DW$225,Mujeres!$A$1:$DW$117,Pensionados!$A$2:$G$166,'Empleados activos'!$A$2:$I$225)</f>
        <v>2.5811467324117228</v>
      </c>
      <c r="C7" cm="1">
        <f t="array" ref="C7">MuertesPensionadosEnAnio("Femenino",A7,Hombres!$A$1:$DW$225,Mujeres!$A$1:$DW$117,Pensionados!$A$2:$G$166,'Empleados activos'!$A$2:$I$225)</f>
        <v>2.5135554810880443</v>
      </c>
      <c r="D7">
        <f t="shared" si="0"/>
        <v>5.094702213499767</v>
      </c>
    </row>
    <row r="8" spans="1:4" x14ac:dyDescent="0.35">
      <c r="A8">
        <f t="shared" si="1"/>
        <v>2031</v>
      </c>
      <c r="B8" cm="1">
        <f t="array" ref="B8">MuertesPensionadosEnAnio("Masculino",A8,Hombres!$A$1:$DW$225,Mujeres!$A$1:$DW$117,Pensionados!$A$2:$G$166,'Empleados activos'!$A$2:$I$225)</f>
        <v>2.5999925855896517</v>
      </c>
      <c r="C8" cm="1">
        <f t="array" ref="C8">MuertesPensionadosEnAnio("Femenino",A8,Hombres!$A$1:$DW$225,Mujeres!$A$1:$DW$117,Pensionados!$A$2:$G$166,'Empleados activos'!$A$2:$I$225)</f>
        <v>2.6115936068395276</v>
      </c>
      <c r="D8">
        <f t="shared" si="0"/>
        <v>5.2115861924291789</v>
      </c>
    </row>
    <row r="9" spans="1:4" x14ac:dyDescent="0.35">
      <c r="A9">
        <f t="shared" si="1"/>
        <v>2032</v>
      </c>
      <c r="B9" cm="1">
        <f t="array" ref="B9">MuertesPensionadosEnAnio("Masculino",A9,Hombres!$A$1:$DW$225,Mujeres!$A$1:$DW$117,Pensionados!$A$2:$G$166,'Empleados activos'!$A$2:$I$225)</f>
        <v>2.6131145970022116</v>
      </c>
      <c r="C9" cm="1">
        <f t="array" ref="C9">MuertesPensionadosEnAnio("Femenino",A9,Hombres!$A$1:$DW$225,Mujeres!$A$1:$DW$117,Pensionados!$A$2:$G$166,'Empleados activos'!$A$2:$I$225)</f>
        <v>2.7087825502048894</v>
      </c>
      <c r="D9">
        <f t="shared" si="0"/>
        <v>5.3218971472071015</v>
      </c>
    </row>
    <row r="10" spans="1:4" x14ac:dyDescent="0.35">
      <c r="A10">
        <f t="shared" si="1"/>
        <v>2033</v>
      </c>
      <c r="B10" cm="1">
        <f t="array" ref="B10">MuertesPensionadosEnAnio("Masculino",A10,Hombres!$A$1:$DW$225,Mujeres!$A$1:$DW$117,Pensionados!$A$2:$G$166,'Empleados activos'!$A$2:$I$225)</f>
        <v>2.6252648843308797</v>
      </c>
      <c r="C10" cm="1">
        <f t="array" ref="C10">MuertesPensionadosEnAnio("Femenino",A10,Hombres!$A$1:$DW$225,Mujeres!$A$1:$DW$117,Pensionados!$A$2:$G$166,'Empleados activos'!$A$2:$I$225)</f>
        <v>2.795264850681483</v>
      </c>
      <c r="D10">
        <f t="shared" si="0"/>
        <v>5.4205297350123622</v>
      </c>
    </row>
    <row r="11" spans="1:4" x14ac:dyDescent="0.35">
      <c r="A11">
        <f t="shared" si="1"/>
        <v>2034</v>
      </c>
      <c r="B11" cm="1">
        <f t="array" ref="B11">MuertesPensionadosEnAnio("Masculino",A11,Hombres!$A$1:$DW$225,Mujeres!$A$1:$DW$117,Pensionados!$A$2:$G$166,'Empleados activos'!$A$2:$I$225)</f>
        <v>2.6311841610679623</v>
      </c>
      <c r="C11" cm="1">
        <f t="array" ref="C11">MuertesPensionadosEnAnio("Femenino",A11,Hombres!$A$1:$DW$225,Mujeres!$A$1:$DW$117,Pensionados!$A$2:$G$166,'Empleados activos'!$A$2:$I$225)</f>
        <v>2.8830282276936021</v>
      </c>
      <c r="D11">
        <f t="shared" si="0"/>
        <v>5.5142123887615639</v>
      </c>
    </row>
    <row r="12" spans="1:4" x14ac:dyDescent="0.35">
      <c r="A12">
        <f t="shared" si="1"/>
        <v>2035</v>
      </c>
      <c r="B12" cm="1">
        <f t="array" ref="B12">MuertesPensionadosEnAnio("Masculino",A12,Hombres!$A$1:$DW$225,Mujeres!$A$1:$DW$117,Pensionados!$A$2:$G$166,'Empleados activos'!$A$2:$I$225)</f>
        <v>2.6351028419189015</v>
      </c>
      <c r="C12" cm="1">
        <f t="array" ref="C12">MuertesPensionadosEnAnio("Femenino",A12,Hombres!$A$1:$DW$225,Mujeres!$A$1:$DW$117,Pensionados!$A$2:$G$166,'Empleados activos'!$A$2:$I$225)</f>
        <v>2.9578029710614016</v>
      </c>
      <c r="D12">
        <f t="shared" si="0"/>
        <v>5.5929058129803035</v>
      </c>
    </row>
    <row r="13" spans="1:4" x14ac:dyDescent="0.35">
      <c r="A13">
        <f t="shared" si="1"/>
        <v>2036</v>
      </c>
      <c r="B13" cm="1">
        <f t="array" ref="B13">MuertesPensionadosEnAnio("Masculino",A13,Hombres!$A$1:$DW$225,Mujeres!$A$1:$DW$117,Pensionados!$A$2:$G$166,'Empleados activos'!$A$2:$I$225)</f>
        <v>2.6418506260092567</v>
      </c>
      <c r="C13" cm="1">
        <f t="array" ref="C13">MuertesPensionadosEnAnio("Femenino",A13,Hombres!$A$1:$DW$225,Mujeres!$A$1:$DW$117,Pensionados!$A$2:$G$166,'Empleados activos'!$A$2:$I$225)</f>
        <v>3.0228410062963604</v>
      </c>
      <c r="D13">
        <f t="shared" si="0"/>
        <v>5.6646916323056171</v>
      </c>
    </row>
    <row r="14" spans="1:4" x14ac:dyDescent="0.35">
      <c r="A14">
        <f t="shared" si="1"/>
        <v>2037</v>
      </c>
      <c r="B14" cm="1">
        <f t="array" ref="B14">MuertesPensionadosEnAnio("Masculino",A14,Hombres!$A$1:$DW$225,Mujeres!$A$1:$DW$117,Pensionados!$A$2:$G$166,'Empleados activos'!$A$2:$I$225)</f>
        <v>2.6349295986854315</v>
      </c>
      <c r="C14" cm="1">
        <f t="array" ref="C14">MuertesPensionadosEnAnio("Femenino",A14,Hombres!$A$1:$DW$225,Mujeres!$A$1:$DW$117,Pensionados!$A$2:$G$166,'Empleados activos'!$A$2:$I$225)</f>
        <v>3.0860087770951248</v>
      </c>
      <c r="D14">
        <f t="shared" si="0"/>
        <v>5.7209383757805563</v>
      </c>
    </row>
    <row r="15" spans="1:4" x14ac:dyDescent="0.35">
      <c r="A15">
        <f t="shared" si="1"/>
        <v>2038</v>
      </c>
      <c r="B15" cm="1">
        <f t="array" ref="B15">MuertesPensionadosEnAnio("Masculino",A15,Hombres!$A$1:$DW$225,Mujeres!$A$1:$DW$117,Pensionados!$A$2:$G$166,'Empleados activos'!$A$2:$I$225)</f>
        <v>2.6285723907526934</v>
      </c>
      <c r="C15" cm="1">
        <f t="array" ref="C15">MuertesPensionadosEnAnio("Femenino",A15,Hombres!$A$1:$DW$225,Mujeres!$A$1:$DW$117,Pensionados!$A$2:$G$166,'Empleados activos'!$A$2:$I$225)</f>
        <v>3.1421587267459183</v>
      </c>
      <c r="D15">
        <f t="shared" si="0"/>
        <v>5.7707311174986113</v>
      </c>
    </row>
    <row r="16" spans="1:4" x14ac:dyDescent="0.35">
      <c r="A16">
        <f t="shared" si="1"/>
        <v>2039</v>
      </c>
      <c r="B16" cm="1">
        <f t="array" ref="B16">MuertesPensionadosEnAnio("Masculino",A16,Hombres!$A$1:$DW$225,Mujeres!$A$1:$DW$117,Pensionados!$A$2:$G$166,'Empleados activos'!$A$2:$I$225)</f>
        <v>2.6320934945257721</v>
      </c>
      <c r="C16" cm="1">
        <f t="array" ref="C16">MuertesPensionadosEnAnio("Femenino",A16,Hombres!$A$1:$DW$225,Mujeres!$A$1:$DW$117,Pensionados!$A$2:$G$166,'Empleados activos'!$A$2:$I$225)</f>
        <v>3.1930404946774127</v>
      </c>
      <c r="D16">
        <f t="shared" si="0"/>
        <v>5.8251339892031844</v>
      </c>
    </row>
    <row r="17" spans="1:4" x14ac:dyDescent="0.35">
      <c r="A17">
        <f t="shared" si="1"/>
        <v>2040</v>
      </c>
      <c r="B17" cm="1">
        <f t="array" ref="B17">MuertesPensionadosEnAnio("Masculino",A17,Hombres!$A$1:$DW$225,Mujeres!$A$1:$DW$117,Pensionados!$A$2:$G$166,'Empleados activos'!$A$2:$I$225)</f>
        <v>2.6361910511592077</v>
      </c>
      <c r="C17" cm="1">
        <f t="array" ref="C17">MuertesPensionadosEnAnio("Femenino",A17,Hombres!$A$1:$DW$225,Mujeres!$A$1:$DW$117,Pensionados!$A$2:$G$166,'Empleados activos'!$A$2:$I$225)</f>
        <v>3.2299916120677783</v>
      </c>
      <c r="D17">
        <f t="shared" si="0"/>
        <v>5.8661826632269864</v>
      </c>
    </row>
    <row r="18" spans="1:4" x14ac:dyDescent="0.35">
      <c r="A18">
        <f t="shared" si="1"/>
        <v>2041</v>
      </c>
      <c r="B18" cm="1">
        <f t="array" ref="B18">MuertesPensionadosEnAnio("Masculino",A18,Hombres!$A$1:$DW$225,Mujeres!$A$1:$DW$117,Pensionados!$A$2:$G$166,'Empleados activos'!$A$2:$I$225)</f>
        <v>2.60361540126013</v>
      </c>
      <c r="C18" cm="1">
        <f t="array" ref="C18">MuertesPensionadosEnAnio("Femenino",A18,Hombres!$A$1:$DW$225,Mujeres!$A$1:$DW$117,Pensionados!$A$2:$G$166,'Empleados activos'!$A$2:$I$225)</f>
        <v>3.249456872495649</v>
      </c>
      <c r="D18">
        <f t="shared" si="0"/>
        <v>5.853072273755779</v>
      </c>
    </row>
    <row r="19" spans="1:4" x14ac:dyDescent="0.35">
      <c r="A19">
        <f t="shared" si="1"/>
        <v>2042</v>
      </c>
      <c r="B19" cm="1">
        <f t="array" ref="B19">MuertesPensionadosEnAnio("Masculino",A19,Hombres!$A$1:$DW$225,Mujeres!$A$1:$DW$117,Pensionados!$A$2:$G$166,'Empleados activos'!$A$2:$I$225)</f>
        <v>2.5846111804245013</v>
      </c>
      <c r="C19" cm="1">
        <f t="array" ref="C19">MuertesPensionadosEnAnio("Femenino",A19,Hombres!$A$1:$DW$225,Mujeres!$A$1:$DW$117,Pensionados!$A$2:$G$166,'Empleados activos'!$A$2:$I$225)</f>
        <v>3.2651450497484613</v>
      </c>
      <c r="D19">
        <f t="shared" si="0"/>
        <v>5.8497562301729626</v>
      </c>
    </row>
    <row r="20" spans="1:4" x14ac:dyDescent="0.35">
      <c r="A20">
        <f t="shared" si="1"/>
        <v>2043</v>
      </c>
      <c r="B20" cm="1">
        <f t="array" ref="B20">MuertesPensionadosEnAnio("Masculino",A20,Hombres!$A$1:$DW$225,Mujeres!$A$1:$DW$117,Pensionados!$A$2:$G$166,'Empleados activos'!$A$2:$I$225)</f>
        <v>2.5361828218445615</v>
      </c>
      <c r="C20" cm="1">
        <f t="array" ref="C20">MuertesPensionadosEnAnio("Femenino",A20,Hombres!$A$1:$DW$225,Mujeres!$A$1:$DW$117,Pensionados!$A$2:$G$166,'Empleados activos'!$A$2:$I$225)</f>
        <v>3.2757608428398073</v>
      </c>
      <c r="D20">
        <f t="shared" si="0"/>
        <v>5.8119436646843692</v>
      </c>
    </row>
    <row r="21" spans="1:4" x14ac:dyDescent="0.35">
      <c r="A21">
        <f t="shared" si="1"/>
        <v>2044</v>
      </c>
      <c r="B21" cm="1">
        <f t="array" ref="B21">MuertesPensionadosEnAnio("Masculino",A21,Hombres!$A$1:$DW$225,Mujeres!$A$1:$DW$117,Pensionados!$A$2:$G$166,'Empleados activos'!$A$2:$I$225)</f>
        <v>2.5080576822086229</v>
      </c>
      <c r="C21" cm="1">
        <f t="array" ref="C21">MuertesPensionadosEnAnio("Femenino",A21,Hombres!$A$1:$DW$225,Mujeres!$A$1:$DW$117,Pensionados!$A$2:$G$166,'Empleados activos'!$A$2:$I$225)</f>
        <v>3.2579316289359359</v>
      </c>
      <c r="D21">
        <f t="shared" si="0"/>
        <v>5.7659893111445584</v>
      </c>
    </row>
    <row r="22" spans="1:4" x14ac:dyDescent="0.35">
      <c r="A22">
        <f t="shared" si="1"/>
        <v>2045</v>
      </c>
      <c r="B22" cm="1">
        <f t="array" ref="B22">MuertesPensionadosEnAnio("Masculino",A22,Hombres!$A$1:$DW$225,Mujeres!$A$1:$DW$117,Pensionados!$A$2:$G$166,'Empleados activos'!$A$2:$I$225)</f>
        <v>2.4521974757234477</v>
      </c>
      <c r="C22" cm="1">
        <f t="array" ref="C22">MuertesPensionadosEnAnio("Femenino",A22,Hombres!$A$1:$DW$225,Mujeres!$A$1:$DW$117,Pensionados!$A$2:$G$166,'Empleados activos'!$A$2:$I$225)</f>
        <v>3.2336732297102571</v>
      </c>
      <c r="D22">
        <f t="shared" si="0"/>
        <v>5.6858707054337048</v>
      </c>
    </row>
    <row r="23" spans="1:4" x14ac:dyDescent="0.35">
      <c r="A23">
        <f t="shared" si="1"/>
        <v>2046</v>
      </c>
      <c r="B23" cm="1">
        <f t="array" ref="B23">MuertesPensionadosEnAnio("Masculino",A23,Hombres!$A$1:$DW$225,Mujeres!$A$1:$DW$117,Pensionados!$A$2:$G$166,'Empleados activos'!$A$2:$I$225)</f>
        <v>2.4471884755316324</v>
      </c>
      <c r="C23" cm="1">
        <f t="array" ref="C23">MuertesPensionadosEnAnio("Femenino",A23,Hombres!$A$1:$DW$225,Mujeres!$A$1:$DW$117,Pensionados!$A$2:$G$166,'Empleados activos'!$A$2:$I$225)</f>
        <v>3.1919501287707588</v>
      </c>
      <c r="D23">
        <f t="shared" si="0"/>
        <v>5.6391386043023912</v>
      </c>
    </row>
    <row r="24" spans="1:4" x14ac:dyDescent="0.35">
      <c r="A24">
        <f t="shared" si="1"/>
        <v>2047</v>
      </c>
      <c r="B24" cm="1">
        <f t="array" ref="B24">MuertesPensionadosEnAnio("Masculino",A24,Hombres!$A$1:$DW$225,Mujeres!$A$1:$DW$117,Pensionados!$A$2:$G$166,'Empleados activos'!$A$2:$I$225)</f>
        <v>2.3862356043009618</v>
      </c>
      <c r="C24" cm="1">
        <f t="array" ref="C24">MuertesPensionadosEnAnio("Femenino",A24,Hombres!$A$1:$DW$225,Mujeres!$A$1:$DW$117,Pensionados!$A$2:$G$166,'Empleados activos'!$A$2:$I$225)</f>
        <v>3.1368074796753915</v>
      </c>
      <c r="D24">
        <f t="shared" si="0"/>
        <v>5.5230430839763534</v>
      </c>
    </row>
    <row r="25" spans="1:4" x14ac:dyDescent="0.35">
      <c r="A25">
        <f t="shared" si="1"/>
        <v>2048</v>
      </c>
      <c r="B25" cm="1">
        <f t="array" ref="B25">MuertesPensionadosEnAnio("Masculino",A25,Hombres!$A$1:$DW$225,Mujeres!$A$1:$DW$117,Pensionados!$A$2:$G$166,'Empleados activos'!$A$2:$I$225)</f>
        <v>2.3213587537845406</v>
      </c>
      <c r="C25" cm="1">
        <f t="array" ref="C25">MuertesPensionadosEnAnio("Femenino",A25,Hombres!$A$1:$DW$225,Mujeres!$A$1:$DW$117,Pensionados!$A$2:$G$166,'Empleados activos'!$A$2:$I$225)</f>
        <v>3.0909791798017054</v>
      </c>
      <c r="D25">
        <f t="shared" si="0"/>
        <v>5.4123379335862456</v>
      </c>
    </row>
    <row r="26" spans="1:4" x14ac:dyDescent="0.35">
      <c r="A26">
        <f t="shared" si="1"/>
        <v>2049</v>
      </c>
      <c r="B26" cm="1">
        <f t="array" ref="B26">MuertesPensionadosEnAnio("Masculino",A26,Hombres!$A$1:$DW$225,Mujeres!$A$1:$DW$117,Pensionados!$A$2:$G$166,'Empleados activos'!$A$2:$I$225)</f>
        <v>2.2503477175629336</v>
      </c>
      <c r="C26" cm="1">
        <f t="array" ref="C26">MuertesPensionadosEnAnio("Femenino",A26,Hombres!$A$1:$DW$225,Mujeres!$A$1:$DW$117,Pensionados!$A$2:$G$166,'Empleados activos'!$A$2:$I$225)</f>
        <v>3.0340845415924864</v>
      </c>
      <c r="D26">
        <f t="shared" si="0"/>
        <v>5.2844322591554196</v>
      </c>
    </row>
    <row r="27" spans="1:4" x14ac:dyDescent="0.35">
      <c r="A27">
        <f t="shared" si="1"/>
        <v>2050</v>
      </c>
      <c r="B27" cm="1">
        <f t="array" ref="B27">MuertesPensionadosEnAnio("Masculino",A27,Hombres!$A$1:$DW$225,Mujeres!$A$1:$DW$117,Pensionados!$A$2:$G$166,'Empleados activos'!$A$2:$I$225)</f>
        <v>2.1816801265589638</v>
      </c>
      <c r="C27" cm="1">
        <f t="array" ref="C27">MuertesPensionadosEnAnio("Femenino",A27,Hombres!$A$1:$DW$225,Mujeres!$A$1:$DW$117,Pensionados!$A$2:$G$166,'Empleados activos'!$A$2:$I$225)</f>
        <v>2.941011980700968</v>
      </c>
      <c r="D27">
        <f t="shared" si="0"/>
        <v>5.1226921072599314</v>
      </c>
    </row>
    <row r="28" spans="1:4" x14ac:dyDescent="0.35">
      <c r="A28">
        <f t="shared" si="1"/>
        <v>2051</v>
      </c>
      <c r="B28" cm="1">
        <f t="array" ref="B28">MuertesPensionadosEnAnio("Masculino",A28,Hombres!$A$1:$DW$225,Mujeres!$A$1:$DW$117,Pensionados!$A$2:$G$166,'Empleados activos'!$A$2:$I$225)</f>
        <v>2.1102180013059382</v>
      </c>
      <c r="C28" cm="1">
        <f t="array" ref="C28">MuertesPensionadosEnAnio("Femenino",A28,Hombres!$A$1:$DW$225,Mujeres!$A$1:$DW$117,Pensionados!$A$2:$G$166,'Empleados activos'!$A$2:$I$225)</f>
        <v>2.8470318592516972</v>
      </c>
      <c r="D28">
        <f t="shared" si="0"/>
        <v>4.9572498605576349</v>
      </c>
    </row>
    <row r="29" spans="1:4" x14ac:dyDescent="0.35">
      <c r="A29">
        <f t="shared" si="1"/>
        <v>2052</v>
      </c>
      <c r="B29" cm="1">
        <f t="array" ref="B29">MuertesPensionadosEnAnio("Masculino",A29,Hombres!$A$1:$DW$225,Mujeres!$A$1:$DW$117,Pensionados!$A$2:$G$166,'Empleados activos'!$A$2:$I$225)</f>
        <v>2.0622695487588736</v>
      </c>
      <c r="C29" cm="1">
        <f t="array" ref="C29">MuertesPensionadosEnAnio("Femenino",A29,Hombres!$A$1:$DW$225,Mujeres!$A$1:$DW$117,Pensionados!$A$2:$G$166,'Empleados activos'!$A$2:$I$225)</f>
        <v>2.7401916511010418</v>
      </c>
      <c r="D29">
        <f t="shared" si="0"/>
        <v>4.8024611998599154</v>
      </c>
    </row>
    <row r="30" spans="1:4" x14ac:dyDescent="0.35">
      <c r="A30">
        <f t="shared" si="1"/>
        <v>2053</v>
      </c>
      <c r="B30" cm="1">
        <f t="array" ref="B30">MuertesPensionadosEnAnio("Masculino",A30,Hombres!$A$1:$DW$225,Mujeres!$A$1:$DW$117,Pensionados!$A$2:$G$166,'Empleados activos'!$A$2:$I$225)</f>
        <v>2.0167862339063167</v>
      </c>
      <c r="C30" cm="1">
        <f t="array" ref="C30">MuertesPensionadosEnAnio("Femenino",A30,Hombres!$A$1:$DW$225,Mujeres!$A$1:$DW$117,Pensionados!$A$2:$G$166,'Empleados activos'!$A$2:$I$225)</f>
        <v>2.6306452712954145</v>
      </c>
      <c r="D30">
        <f t="shared" si="0"/>
        <v>4.6474315052017312</v>
      </c>
    </row>
    <row r="31" spans="1:4" x14ac:dyDescent="0.35">
      <c r="A31">
        <f t="shared" si="1"/>
        <v>2054</v>
      </c>
      <c r="B31" cm="1">
        <f t="array" ref="B31">MuertesPensionadosEnAnio("Masculino",A31,Hombres!$A$1:$DW$225,Mujeres!$A$1:$DW$117,Pensionados!$A$2:$G$166,'Empleados activos'!$A$2:$I$225)</f>
        <v>2.0007279352013327</v>
      </c>
      <c r="C31" cm="1">
        <f t="array" ref="C31">MuertesPensionadosEnAnio("Femenino",A31,Hombres!$A$1:$DW$225,Mujeres!$A$1:$DW$117,Pensionados!$A$2:$G$166,'Empleados activos'!$A$2:$I$225)</f>
        <v>2.5206841860345715</v>
      </c>
      <c r="D31">
        <f t="shared" si="0"/>
        <v>4.5214121212359046</v>
      </c>
    </row>
    <row r="32" spans="1:4" x14ac:dyDescent="0.35">
      <c r="A32">
        <f t="shared" si="1"/>
        <v>2055</v>
      </c>
      <c r="B32" cm="1">
        <f t="array" ref="B32">MuertesPensionadosEnAnio("Masculino",A32,Hombres!$A$1:$DW$225,Mujeres!$A$1:$DW$117,Pensionados!$A$2:$G$166,'Empleados activos'!$A$2:$I$225)</f>
        <v>1.9981272938279622</v>
      </c>
      <c r="C32" cm="1">
        <f t="array" ref="C32">MuertesPensionadosEnAnio("Femenino",A32,Hombres!$A$1:$DW$225,Mujeres!$A$1:$DW$117,Pensionados!$A$2:$G$166,'Empleados activos'!$A$2:$I$225)</f>
        <v>2.4266596157353812</v>
      </c>
      <c r="D32">
        <f t="shared" si="0"/>
        <v>4.424786909563343</v>
      </c>
    </row>
    <row r="33" spans="1:4" x14ac:dyDescent="0.35">
      <c r="A33">
        <f t="shared" si="1"/>
        <v>2056</v>
      </c>
      <c r="B33" cm="1">
        <f t="array" ref="B33">MuertesPensionadosEnAnio("Masculino",A33,Hombres!$A$1:$DW$225,Mujeres!$A$1:$DW$117,Pensionados!$A$2:$G$166,'Empleados activos'!$A$2:$I$225)</f>
        <v>2.0315568567030344</v>
      </c>
      <c r="C33" cm="1">
        <f t="array" ref="C33">MuertesPensionadosEnAnio("Femenino",A33,Hombres!$A$1:$DW$225,Mujeres!$A$1:$DW$117,Pensionados!$A$2:$G$166,'Empleados activos'!$A$2:$I$225)</f>
        <v>2.3133169625804753</v>
      </c>
      <c r="D33">
        <f t="shared" si="0"/>
        <v>4.3448738192835101</v>
      </c>
    </row>
    <row r="34" spans="1:4" x14ac:dyDescent="0.35">
      <c r="A34">
        <f t="shared" si="1"/>
        <v>2057</v>
      </c>
      <c r="B34" cm="1">
        <f t="array" ref="B34">MuertesPensionadosEnAnio("Masculino",A34,Hombres!$A$1:$DW$225,Mujeres!$A$1:$DW$117,Pensionados!$A$2:$G$166,'Empleados activos'!$A$2:$I$225)</f>
        <v>2.0127815438502972</v>
      </c>
      <c r="C34" cm="1">
        <f t="array" ref="C34">MuertesPensionadosEnAnio("Femenino",A34,Hombres!$A$1:$DW$225,Mujeres!$A$1:$DW$117,Pensionados!$A$2:$G$166,'Empleados activos'!$A$2:$I$225)</f>
        <v>2.2164323045836807</v>
      </c>
      <c r="D34">
        <f t="shared" si="0"/>
        <v>4.2292138484339779</v>
      </c>
    </row>
    <row r="35" spans="1:4" x14ac:dyDescent="0.35">
      <c r="A35">
        <f t="shared" si="1"/>
        <v>2058</v>
      </c>
      <c r="B35" cm="1">
        <f t="array" ref="B35">MuertesPensionadosEnAnio("Masculino",A35,Hombres!$A$1:$DW$225,Mujeres!$A$1:$DW$117,Pensionados!$A$2:$G$166,'Empleados activos'!$A$2:$I$225)</f>
        <v>1.9926581810419919</v>
      </c>
      <c r="C35" cm="1">
        <f t="array" ref="C35">MuertesPensionadosEnAnio("Femenino",A35,Hombres!$A$1:$DW$225,Mujeres!$A$1:$DW$117,Pensionados!$A$2:$G$166,'Empleados activos'!$A$2:$I$225)</f>
        <v>2.1334331862139546</v>
      </c>
      <c r="D35">
        <f t="shared" si="0"/>
        <v>4.1260913672559463</v>
      </c>
    </row>
    <row r="36" spans="1:4" x14ac:dyDescent="0.35">
      <c r="A36">
        <f t="shared" si="1"/>
        <v>2059</v>
      </c>
      <c r="B36" cm="1">
        <f t="array" ref="B36">MuertesPensionadosEnAnio("Masculino",A36,Hombres!$A$1:$DW$225,Mujeres!$A$1:$DW$117,Pensionados!$A$2:$G$166,'Empleados activos'!$A$2:$I$225)</f>
        <v>1.9878552573794552</v>
      </c>
      <c r="C36" cm="1">
        <f t="array" ref="C36">MuertesPensionadosEnAnio("Femenino",A36,Hombres!$A$1:$DW$225,Mujeres!$A$1:$DW$117,Pensionados!$A$2:$G$166,'Empleados activos'!$A$2:$I$225)</f>
        <v>2.0717267296636099</v>
      </c>
      <c r="D36">
        <f t="shared" si="0"/>
        <v>4.0595819870430656</v>
      </c>
    </row>
    <row r="37" spans="1:4" x14ac:dyDescent="0.35">
      <c r="A37">
        <f t="shared" si="1"/>
        <v>2060</v>
      </c>
      <c r="B37" cm="1">
        <f t="array" ref="B37">MuertesPensionadosEnAnio("Masculino",A37,Hombres!$A$1:$DW$225,Mujeres!$A$1:$DW$117,Pensionados!$A$2:$G$166,'Empleados activos'!$A$2:$I$225)</f>
        <v>1.9873422733808408</v>
      </c>
      <c r="C37" cm="1">
        <f t="array" ref="C37">MuertesPensionadosEnAnio("Femenino",A37,Hombres!$A$1:$DW$225,Mujeres!$A$1:$DW$117,Pensionados!$A$2:$G$166,'Empleados activos'!$A$2:$I$225)</f>
        <v>2.0139387010231737</v>
      </c>
      <c r="D37">
        <f t="shared" si="0"/>
        <v>4.0012809744040148</v>
      </c>
    </row>
    <row r="38" spans="1:4" x14ac:dyDescent="0.35">
      <c r="A38">
        <f t="shared" si="1"/>
        <v>2061</v>
      </c>
      <c r="B38" cm="1">
        <f t="array" ref="B38">MuertesPensionadosEnAnio("Masculino",A38,Hombres!$A$1:$DW$225,Mujeres!$A$1:$DW$117,Pensionados!$A$2:$G$166,'Empleados activos'!$A$2:$I$225)</f>
        <v>1.9964483124822774</v>
      </c>
      <c r="C38" cm="1">
        <f t="array" ref="C38">MuertesPensionadosEnAnio("Femenino",A38,Hombres!$A$1:$DW$225,Mujeres!$A$1:$DW$117,Pensionados!$A$2:$G$166,'Empleados activos'!$A$2:$I$225)</f>
        <v>1.9830504467856302</v>
      </c>
      <c r="D38">
        <f t="shared" si="0"/>
        <v>3.9794987592679076</v>
      </c>
    </row>
    <row r="39" spans="1:4" x14ac:dyDescent="0.35">
      <c r="A39">
        <f t="shared" si="1"/>
        <v>2062</v>
      </c>
      <c r="B39" cm="1">
        <f t="array" ref="B39">MuertesPensionadosEnAnio("Masculino",A39,Hombres!$A$1:$DW$225,Mujeres!$A$1:$DW$117,Pensionados!$A$2:$G$166,'Empleados activos'!$A$2:$I$225)</f>
        <v>2.0328227888363406</v>
      </c>
      <c r="C39" cm="1">
        <f t="array" ref="C39">MuertesPensionadosEnAnio("Femenino",A39,Hombres!$A$1:$DW$225,Mujeres!$A$1:$DW$117,Pensionados!$A$2:$G$166,'Empleados activos'!$A$2:$I$225)</f>
        <v>1.9742497733835365</v>
      </c>
      <c r="D39">
        <f t="shared" si="0"/>
        <v>4.0070725622198768</v>
      </c>
    </row>
    <row r="40" spans="1:4" x14ac:dyDescent="0.35">
      <c r="A40">
        <f t="shared" si="1"/>
        <v>2063</v>
      </c>
      <c r="B40" cm="1">
        <f t="array" ref="B40">MuertesPensionadosEnAnio("Masculino",A40,Hombres!$A$1:$DW$225,Mujeres!$A$1:$DW$117,Pensionados!$A$2:$G$166,'Empleados activos'!$A$2:$I$225)</f>
        <v>2.1255413350921475</v>
      </c>
      <c r="C40" cm="1">
        <f t="array" ref="C40">MuertesPensionadosEnAnio("Femenino",A40,Hombres!$A$1:$DW$225,Mujeres!$A$1:$DW$117,Pensionados!$A$2:$G$166,'Empleados activos'!$A$2:$I$225)</f>
        <v>1.9966487218718447</v>
      </c>
      <c r="D40">
        <f t="shared" si="0"/>
        <v>4.1221900569639924</v>
      </c>
    </row>
    <row r="41" spans="1:4" x14ac:dyDescent="0.35">
      <c r="A41">
        <f t="shared" si="1"/>
        <v>2064</v>
      </c>
      <c r="B41" cm="1">
        <f t="array" ref="B41">MuertesPensionadosEnAnio("Masculino",A41,Hombres!$A$1:$DW$225,Mujeres!$A$1:$DW$117,Pensionados!$A$2:$G$166,'Empleados activos'!$A$2:$I$225)</f>
        <v>2.1884573270439223</v>
      </c>
      <c r="C41" cm="1">
        <f t="array" ref="C41">MuertesPensionadosEnAnio("Femenino",A41,Hombres!$A$1:$DW$225,Mujeres!$A$1:$DW$117,Pensionados!$A$2:$G$166,'Empleados activos'!$A$2:$I$225)</f>
        <v>2.0364441975204812</v>
      </c>
      <c r="D41">
        <f t="shared" si="0"/>
        <v>4.2249015245644035</v>
      </c>
    </row>
    <row r="42" spans="1:4" x14ac:dyDescent="0.35">
      <c r="A42">
        <f t="shared" si="1"/>
        <v>2065</v>
      </c>
      <c r="B42" cm="1">
        <f t="array" ref="B42">MuertesPensionadosEnAnio("Masculino",A42,Hombres!$A$1:$DW$225,Mujeres!$A$1:$DW$117,Pensionados!$A$2:$G$166,'Empleados activos'!$A$2:$I$225)</f>
        <v>2.2604827524618023</v>
      </c>
      <c r="C42" cm="1">
        <f t="array" ref="C42">MuertesPensionadosEnAnio("Femenino",A42,Hombres!$A$1:$DW$225,Mujeres!$A$1:$DW$117,Pensionados!$A$2:$G$166,'Empleados activos'!$A$2:$I$225)</f>
        <v>2.0947934027185542</v>
      </c>
      <c r="D42">
        <f t="shared" si="0"/>
        <v>4.3552761551803565</v>
      </c>
    </row>
    <row r="43" spans="1:4" x14ac:dyDescent="0.35">
      <c r="A43">
        <f t="shared" si="1"/>
        <v>2066</v>
      </c>
      <c r="B43" cm="1">
        <f t="array" ref="B43">MuertesPensionadosEnAnio("Masculino",A43,Hombres!$A$1:$DW$225,Mujeres!$A$1:$DW$117,Pensionados!$A$2:$G$166,'Empleados activos'!$A$2:$I$225)</f>
        <v>2.3302399414592099</v>
      </c>
      <c r="C43" cm="1">
        <f t="array" ref="C43">MuertesPensionadosEnAnio("Femenino",A43,Hombres!$A$1:$DW$225,Mujeres!$A$1:$DW$117,Pensionados!$A$2:$G$166,'Empleados activos'!$A$2:$I$225)</f>
        <v>2.1703983830931306</v>
      </c>
      <c r="D43">
        <f t="shared" si="0"/>
        <v>4.5006383245523409</v>
      </c>
    </row>
    <row r="44" spans="1:4" x14ac:dyDescent="0.35">
      <c r="A44">
        <f t="shared" si="1"/>
        <v>2067</v>
      </c>
      <c r="B44" cm="1">
        <f t="array" ref="B44">MuertesPensionadosEnAnio("Masculino",A44,Hombres!$A$1:$DW$225,Mujeres!$A$1:$DW$117,Pensionados!$A$2:$G$166,'Empleados activos'!$A$2:$I$225)</f>
        <v>2.4082943075397898</v>
      </c>
      <c r="C44" cm="1">
        <f t="array" ref="C44">MuertesPensionadosEnAnio("Femenino",A44,Hombres!$A$1:$DW$225,Mujeres!$A$1:$DW$117,Pensionados!$A$2:$G$166,'Empleados activos'!$A$2:$I$225)</f>
        <v>2.2562401105839083</v>
      </c>
      <c r="D44">
        <f t="shared" si="0"/>
        <v>4.6645344181236981</v>
      </c>
    </row>
    <row r="45" spans="1:4" x14ac:dyDescent="0.35">
      <c r="A45">
        <f t="shared" si="1"/>
        <v>2068</v>
      </c>
      <c r="B45" cm="1">
        <f t="array" ref="B45">MuertesPensionadosEnAnio("Masculino",A45,Hombres!$A$1:$DW$225,Mujeres!$A$1:$DW$117,Pensionados!$A$2:$G$166,'Empleados activos'!$A$2:$I$225)</f>
        <v>2.5050553927923973</v>
      </c>
      <c r="C45" cm="1">
        <f t="array" ref="C45">MuertesPensionadosEnAnio("Femenino",A45,Hombres!$A$1:$DW$225,Mujeres!$A$1:$DW$117,Pensionados!$A$2:$G$166,'Empleados activos'!$A$2:$I$225)</f>
        <v>2.3600616444623856</v>
      </c>
      <c r="D45">
        <f t="shared" si="0"/>
        <v>4.865117037254783</v>
      </c>
    </row>
    <row r="46" spans="1:4" x14ac:dyDescent="0.35">
      <c r="A46">
        <f t="shared" si="1"/>
        <v>2069</v>
      </c>
      <c r="B46" cm="1">
        <f t="array" ref="B46">MuertesPensionadosEnAnio("Masculino",A46,Hombres!$A$1:$DW$225,Mujeres!$A$1:$DW$117,Pensionados!$A$2:$G$166,'Empleados activos'!$A$2:$I$225)</f>
        <v>2.5869474800282646</v>
      </c>
      <c r="C46" cm="1">
        <f t="array" ref="C46">MuertesPensionadosEnAnio("Femenino",A46,Hombres!$A$1:$DW$225,Mujeres!$A$1:$DW$117,Pensionados!$A$2:$G$166,'Empleados activos'!$A$2:$I$225)</f>
        <v>2.4729716033667684</v>
      </c>
      <c r="D46">
        <f t="shared" si="0"/>
        <v>5.0599190833950329</v>
      </c>
    </row>
    <row r="47" spans="1:4" x14ac:dyDescent="0.35">
      <c r="A47">
        <f t="shared" si="1"/>
        <v>2070</v>
      </c>
      <c r="B47" cm="1">
        <f t="array" ref="B47">MuertesPensionadosEnAnio("Masculino",A47,Hombres!$A$1:$DW$225,Mujeres!$A$1:$DW$117,Pensionados!$A$2:$G$166,'Empleados activos'!$A$2:$I$225)</f>
        <v>2.6700857075859994</v>
      </c>
      <c r="C47" cm="1">
        <f t="array" ref="C47">MuertesPensionadosEnAnio("Femenino",A47,Hombres!$A$1:$DW$225,Mujeres!$A$1:$DW$117,Pensionados!$A$2:$G$166,'Empleados activos'!$A$2:$I$225)</f>
        <v>2.5929403315679438</v>
      </c>
      <c r="D47">
        <f t="shared" si="0"/>
        <v>5.2630260391539432</v>
      </c>
    </row>
    <row r="48" spans="1:4" x14ac:dyDescent="0.35">
      <c r="A48">
        <f t="shared" si="1"/>
        <v>2071</v>
      </c>
      <c r="B48" cm="1">
        <f t="array" ref="B48">MuertesPensionadosEnAnio("Masculino",A48,Hombres!$A$1:$DW$225,Mujeres!$A$1:$DW$117,Pensionados!$A$2:$G$166,'Empleados activos'!$A$2:$I$225)</f>
        <v>2.758990696371681</v>
      </c>
      <c r="C48" cm="1">
        <f t="array" ref="C48">MuertesPensionadosEnAnio("Femenino",A48,Hombres!$A$1:$DW$225,Mujeres!$A$1:$DW$117,Pensionados!$A$2:$G$166,'Empleados activos'!$A$2:$I$225)</f>
        <v>2.7187998838400875</v>
      </c>
      <c r="D48">
        <f t="shared" si="0"/>
        <v>5.477790580211769</v>
      </c>
    </row>
    <row r="49" spans="1:4" x14ac:dyDescent="0.35">
      <c r="A49">
        <f t="shared" si="1"/>
        <v>2072</v>
      </c>
      <c r="B49" cm="1">
        <f t="array" ref="B49">MuertesPensionadosEnAnio("Masculino",A49,Hombres!$A$1:$DW$225,Mujeres!$A$1:$DW$117,Pensionados!$A$2:$G$166,'Empleados activos'!$A$2:$I$225)</f>
        <v>2.8383310207720229</v>
      </c>
      <c r="C49" cm="1">
        <f t="array" ref="C49">MuertesPensionadosEnAnio("Femenino",A49,Hombres!$A$1:$DW$225,Mujeres!$A$1:$DW$117,Pensionados!$A$2:$G$166,'Empleados activos'!$A$2:$I$225)</f>
        <v>2.853465671940445</v>
      </c>
      <c r="D49">
        <f t="shared" si="0"/>
        <v>5.6917966927124679</v>
      </c>
    </row>
    <row r="50" spans="1:4" x14ac:dyDescent="0.35">
      <c r="A50">
        <f t="shared" si="1"/>
        <v>2073</v>
      </c>
      <c r="B50" cm="1">
        <f t="array" ref="B50">MuertesPensionadosEnAnio("Masculino",A50,Hombres!$A$1:$DW$225,Mujeres!$A$1:$DW$117,Pensionados!$A$2:$G$166,'Empleados activos'!$A$2:$I$225)</f>
        <v>2.9137307700798551</v>
      </c>
      <c r="C50" cm="1">
        <f t="array" ref="C50">MuertesPensionadosEnAnio("Femenino",A50,Hombres!$A$1:$DW$225,Mujeres!$A$1:$DW$117,Pensionados!$A$2:$G$166,'Empleados activos'!$A$2:$I$225)</f>
        <v>2.9809669459568182</v>
      </c>
      <c r="D50">
        <f t="shared" si="0"/>
        <v>5.8946977160366734</v>
      </c>
    </row>
    <row r="51" spans="1:4" x14ac:dyDescent="0.35">
      <c r="A51">
        <f t="shared" si="1"/>
        <v>2074</v>
      </c>
      <c r="B51" cm="1">
        <f t="array" ref="B51">MuertesPensionadosEnAnio("Masculino",A51,Hombres!$A$1:$DW$225,Mujeres!$A$1:$DW$117,Pensionados!$A$2:$G$166,'Empleados activos'!$A$2:$I$225)</f>
        <v>2.9823033978908571</v>
      </c>
      <c r="C51" cm="1">
        <f t="array" ref="C51">MuertesPensionadosEnAnio("Femenino",A51,Hombres!$A$1:$DW$225,Mujeres!$A$1:$DW$117,Pensionados!$A$2:$G$166,'Empleados activos'!$A$2:$I$225)</f>
        <v>3.1058325761231611</v>
      </c>
      <c r="D51">
        <f t="shared" si="0"/>
        <v>6.0881359740140182</v>
      </c>
    </row>
    <row r="52" spans="1:4" x14ac:dyDescent="0.35">
      <c r="A52">
        <f t="shared" si="1"/>
        <v>2075</v>
      </c>
      <c r="B52" cm="1">
        <f t="array" ref="B52">MuertesPensionadosEnAnio("Masculino",A52,Hombres!$A$1:$DW$225,Mujeres!$A$1:$DW$117,Pensionados!$A$2:$G$166,'Empleados activos'!$A$2:$I$225)</f>
        <v>3.0397400712379432</v>
      </c>
      <c r="C52" cm="1">
        <f t="array" ref="C52">MuertesPensionadosEnAnio("Femenino",A52,Hombres!$A$1:$DW$225,Mujeres!$A$1:$DW$117,Pensionados!$A$2:$G$166,'Empleados activos'!$A$2:$I$225)</f>
        <v>3.2212092244740629</v>
      </c>
      <c r="D52">
        <f t="shared" si="0"/>
        <v>6.2609492957120061</v>
      </c>
    </row>
    <row r="53" spans="1:4" x14ac:dyDescent="0.35">
      <c r="A53">
        <f t="shared" si="1"/>
        <v>2076</v>
      </c>
      <c r="B53" cm="1">
        <f t="array" ref="B53">MuertesPensionadosEnAnio("Masculino",A53,Hombres!$A$1:$DW$225,Mujeres!$A$1:$DW$117,Pensionados!$A$2:$G$166,'Empleados activos'!$A$2:$I$225)</f>
        <v>3.0848952327669208</v>
      </c>
      <c r="C53" cm="1">
        <f t="array" ref="C53">MuertesPensionadosEnAnio("Femenino",A53,Hombres!$A$1:$DW$225,Mujeres!$A$1:$DW$117,Pensionados!$A$2:$G$166,'Empleados activos'!$A$2:$I$225)</f>
        <v>3.3272202337715697</v>
      </c>
      <c r="D53">
        <f t="shared" si="0"/>
        <v>6.4121154665384905</v>
      </c>
    </row>
    <row r="54" spans="1:4" x14ac:dyDescent="0.35">
      <c r="A54">
        <f t="shared" si="1"/>
        <v>2077</v>
      </c>
      <c r="B54" cm="1">
        <f t="array" ref="B54">MuertesPensionadosEnAnio("Masculino",A54,Hombres!$A$1:$DW$225,Mujeres!$A$1:$DW$117,Pensionados!$A$2:$G$166,'Empleados activos'!$A$2:$I$225)</f>
        <v>3.1245821151662407</v>
      </c>
      <c r="C54" cm="1">
        <f t="array" ref="C54">MuertesPensionadosEnAnio("Femenino",A54,Hombres!$A$1:$DW$225,Mujeres!$A$1:$DW$117,Pensionados!$A$2:$G$166,'Empleados activos'!$A$2:$I$225)</f>
        <v>3.4182595356288088</v>
      </c>
      <c r="D54">
        <f t="shared" si="0"/>
        <v>6.5428416507950491</v>
      </c>
    </row>
    <row r="55" spans="1:4" x14ac:dyDescent="0.35">
      <c r="A55">
        <f t="shared" si="1"/>
        <v>2078</v>
      </c>
      <c r="B55" cm="1">
        <f t="array" ref="B55">MuertesPensionadosEnAnio("Masculino",A55,Hombres!$A$1:$DW$225,Mujeres!$A$1:$DW$117,Pensionados!$A$2:$G$166,'Empleados activos'!$A$2:$I$225)</f>
        <v>3.1628129713832687</v>
      </c>
      <c r="C55" cm="1">
        <f t="array" ref="C55">MuertesPensionadosEnAnio("Femenino",A55,Hombres!$A$1:$DW$225,Mujeres!$A$1:$DW$117,Pensionados!$A$2:$G$166,'Empleados activos'!$A$2:$I$225)</f>
        <v>3.5003282796619706</v>
      </c>
      <c r="D55">
        <f t="shared" si="0"/>
        <v>6.6631412510452392</v>
      </c>
    </row>
    <row r="56" spans="1:4" x14ac:dyDescent="0.35">
      <c r="A56">
        <f t="shared" si="1"/>
        <v>2079</v>
      </c>
      <c r="B56" cm="1">
        <f t="array" ref="B56">MuertesPensionadosEnAnio("Masculino",A56,Hombres!$A$1:$DW$225,Mujeres!$A$1:$DW$117,Pensionados!$A$2:$G$166,'Empleados activos'!$A$2:$I$225)</f>
        <v>3.181786174800223</v>
      </c>
      <c r="C56" cm="1">
        <f t="array" ref="C56">MuertesPensionadosEnAnio("Femenino",A56,Hombres!$A$1:$DW$225,Mujeres!$A$1:$DW$117,Pensionados!$A$2:$G$166,'Empleados activos'!$A$2:$I$225)</f>
        <v>3.56319725659701</v>
      </c>
      <c r="D56">
        <f t="shared" si="0"/>
        <v>6.744983431397233</v>
      </c>
    </row>
    <row r="57" spans="1:4" x14ac:dyDescent="0.35">
      <c r="A57">
        <f t="shared" si="1"/>
        <v>2080</v>
      </c>
      <c r="B57" cm="1">
        <f t="array" ref="B57">MuertesPensionadosEnAnio("Masculino",A57,Hombres!$A$1:$DW$225,Mujeres!$A$1:$DW$117,Pensionados!$A$2:$G$166,'Empleados activos'!$A$2:$I$225)</f>
        <v>3.1860121469670464</v>
      </c>
      <c r="C57" cm="1">
        <f t="array" ref="C57">MuertesPensionadosEnAnio("Femenino",A57,Hombres!$A$1:$DW$225,Mujeres!$A$1:$DW$117,Pensionados!$A$2:$G$166,'Empleados activos'!$A$2:$I$225)</f>
        <v>3.6072891357008068</v>
      </c>
      <c r="D57">
        <f t="shared" si="0"/>
        <v>6.7933012826678532</v>
      </c>
    </row>
    <row r="58" spans="1:4" x14ac:dyDescent="0.35">
      <c r="A58">
        <f t="shared" si="1"/>
        <v>2081</v>
      </c>
      <c r="B58" cm="1">
        <f t="array" ref="B58">MuertesPensionadosEnAnio("Masculino",A58,Hombres!$A$1:$DW$225,Mujeres!$A$1:$DW$117,Pensionados!$A$2:$G$166,'Empleados activos'!$A$2:$I$225)</f>
        <v>3.1749518346903001</v>
      </c>
      <c r="C58" cm="1">
        <f t="array" ref="C58">MuertesPensionadosEnAnio("Femenino",A58,Hombres!$A$1:$DW$225,Mujeres!$A$1:$DW$117,Pensionados!$A$2:$G$166,'Empleados activos'!$A$2:$I$225)</f>
        <v>3.6290669840022947</v>
      </c>
      <c r="D58">
        <f t="shared" si="0"/>
        <v>6.8040188186925947</v>
      </c>
    </row>
    <row r="59" spans="1:4" x14ac:dyDescent="0.35">
      <c r="A59">
        <f t="shared" si="1"/>
        <v>2082</v>
      </c>
      <c r="B59" cm="1">
        <f t="array" ref="B59">MuertesPensionadosEnAnio("Masculino",A59,Hombres!$A$1:$DW$225,Mujeres!$A$1:$DW$117,Pensionados!$A$2:$G$166,'Empleados activos'!$A$2:$I$225)</f>
        <v>3.1508639542416765</v>
      </c>
      <c r="C59" cm="1">
        <f t="array" ref="C59">MuertesPensionadosEnAnio("Femenino",A59,Hombres!$A$1:$DW$225,Mujeres!$A$1:$DW$117,Pensionados!$A$2:$G$166,'Empleados activos'!$A$2:$I$225)</f>
        <v>3.6303401047550352</v>
      </c>
      <c r="D59">
        <f t="shared" si="0"/>
        <v>6.7812040589967122</v>
      </c>
    </row>
    <row r="60" spans="1:4" x14ac:dyDescent="0.35">
      <c r="A60">
        <f t="shared" si="1"/>
        <v>2083</v>
      </c>
      <c r="B60" cm="1">
        <f t="array" ref="B60">MuertesPensionadosEnAnio("Masculino",A60,Hombres!$A$1:$DW$225,Mujeres!$A$1:$DW$117,Pensionados!$A$2:$G$166,'Empleados activos'!$A$2:$I$225)</f>
        <v>3.1153290816937367</v>
      </c>
      <c r="C60" cm="1">
        <f t="array" ref="C60">MuertesPensionadosEnAnio("Femenino",A60,Hombres!$A$1:$DW$225,Mujeres!$A$1:$DW$117,Pensionados!$A$2:$G$166,'Empleados activos'!$A$2:$I$225)</f>
        <v>3.6127655705929107</v>
      </c>
      <c r="D60">
        <f t="shared" si="0"/>
        <v>6.7280946522866474</v>
      </c>
    </row>
    <row r="61" spans="1:4" x14ac:dyDescent="0.35">
      <c r="A61">
        <f t="shared" si="1"/>
        <v>2084</v>
      </c>
      <c r="B61" cm="1">
        <f t="array" ref="B61">MuertesPensionadosEnAnio("Masculino",A61,Hombres!$A$1:$DW$225,Mujeres!$A$1:$DW$117,Pensionados!$A$2:$G$166,'Empleados activos'!$A$2:$I$225)</f>
        <v>3.0582035152270595</v>
      </c>
      <c r="C61" cm="1">
        <f t="array" ref="C61">MuertesPensionadosEnAnio("Femenino",A61,Hombres!$A$1:$DW$225,Mujeres!$A$1:$DW$117,Pensionados!$A$2:$G$166,'Empleados activos'!$A$2:$I$225)</f>
        <v>3.5734046776649331</v>
      </c>
      <c r="D61">
        <f t="shared" si="0"/>
        <v>6.6316081928919921</v>
      </c>
    </row>
    <row r="62" spans="1:4" x14ac:dyDescent="0.35">
      <c r="A62">
        <f t="shared" si="1"/>
        <v>2085</v>
      </c>
      <c r="B62" cm="1">
        <f t="array" ref="B62">MuertesPensionadosEnAnio("Masculino",A62,Hombres!$A$1:$DW$225,Mujeres!$A$1:$DW$117,Pensionados!$A$2:$G$166,'Empleados activos'!$A$2:$I$225)</f>
        <v>2.9806929136701723</v>
      </c>
      <c r="C62" cm="1">
        <f t="array" ref="C62">MuertesPensionadosEnAnio("Femenino",A62,Hombres!$A$1:$DW$225,Mujeres!$A$1:$DW$117,Pensionados!$A$2:$G$166,'Empleados activos'!$A$2:$I$225)</f>
        <v>3.5107404240840823</v>
      </c>
      <c r="D62">
        <f t="shared" si="0"/>
        <v>6.4914333377542546</v>
      </c>
    </row>
    <row r="63" spans="1:4" x14ac:dyDescent="0.35">
      <c r="A63">
        <f t="shared" si="1"/>
        <v>2086</v>
      </c>
      <c r="B63" cm="1">
        <f t="array" ref="B63">MuertesPensionadosEnAnio("Masculino",A63,Hombres!$A$1:$DW$225,Mujeres!$A$1:$DW$117,Pensionados!$A$2:$G$166,'Empleados activos'!$A$2:$I$225)</f>
        <v>2.8836646420537084</v>
      </c>
      <c r="C63" cm="1">
        <f t="array" ref="C63">MuertesPensionadosEnAnio("Femenino",A63,Hombres!$A$1:$DW$225,Mujeres!$A$1:$DW$117,Pensionados!$A$2:$G$166,'Empleados activos'!$A$2:$I$225)</f>
        <v>3.4261750883697601</v>
      </c>
      <c r="D63">
        <f t="shared" si="0"/>
        <v>6.3098397304234686</v>
      </c>
    </row>
    <row r="64" spans="1:4" x14ac:dyDescent="0.35">
      <c r="A64">
        <f t="shared" si="1"/>
        <v>2087</v>
      </c>
      <c r="B64" cm="1">
        <f t="array" ref="B64">MuertesPensionadosEnAnio("Masculino",A64,Hombres!$A$1:$DW$225,Mujeres!$A$1:$DW$117,Pensionados!$A$2:$G$166,'Empleados activos'!$A$2:$I$225)</f>
        <v>2.7685035985219093</v>
      </c>
      <c r="C64" cm="1">
        <f t="array" ref="C64">MuertesPensionadosEnAnio("Femenino",A64,Hombres!$A$1:$DW$225,Mujeres!$A$1:$DW$117,Pensionados!$A$2:$G$166,'Empleados activos'!$A$2:$I$225)</f>
        <v>3.3210918199989918</v>
      </c>
      <c r="D64">
        <f t="shared" si="0"/>
        <v>6.0895954185209007</v>
      </c>
    </row>
    <row r="65" spans="1:4" x14ac:dyDescent="0.35">
      <c r="A65">
        <f t="shared" si="1"/>
        <v>2088</v>
      </c>
      <c r="B65" cm="1">
        <f t="array" ref="B65">MuertesPensionadosEnAnio("Masculino",A65,Hombres!$A$1:$DW$225,Mujeres!$A$1:$DW$117,Pensionados!$A$2:$G$166,'Empleados activos'!$A$2:$I$225)</f>
        <v>2.6353731317021825</v>
      </c>
      <c r="C65" cm="1">
        <f t="array" ref="C65">MuertesPensionadosEnAnio("Femenino",A65,Hombres!$A$1:$DW$225,Mujeres!$A$1:$DW$117,Pensionados!$A$2:$G$166,'Empleados activos'!$A$2:$I$225)</f>
        <v>3.1951804702099502</v>
      </c>
      <c r="D65">
        <f t="shared" si="0"/>
        <v>5.8305536019121327</v>
      </c>
    </row>
    <row r="66" spans="1:4" x14ac:dyDescent="0.35">
      <c r="A66">
        <f t="shared" si="1"/>
        <v>2089</v>
      </c>
      <c r="B66" cm="1">
        <f t="array" ref="B66">MuertesPensionadosEnAnio("Masculino",A66,Hombres!$A$1:$DW$225,Mujeres!$A$1:$DW$117,Pensionados!$A$2:$G$166,'Empleados activos'!$A$2:$I$225)</f>
        <v>2.4838179986938504</v>
      </c>
      <c r="C66" cm="1">
        <f t="array" ref="C66">MuertesPensionadosEnAnio("Femenino",A66,Hombres!$A$1:$DW$225,Mujeres!$A$1:$DW$117,Pensionados!$A$2:$G$166,'Empleados activos'!$A$2:$I$225)</f>
        <v>3.04686636984371</v>
      </c>
      <c r="D66">
        <f t="shared" si="0"/>
        <v>5.5306843685375604</v>
      </c>
    </row>
    <row r="67" spans="1:4" x14ac:dyDescent="0.35">
      <c r="A67">
        <f t="shared" si="1"/>
        <v>2090</v>
      </c>
      <c r="B67" cm="1">
        <f t="array" ref="B67">MuertesPensionadosEnAnio("Masculino",A67,Hombres!$A$1:$DW$225,Mujeres!$A$1:$DW$117,Pensionados!$A$2:$G$166,'Empleados activos'!$A$2:$I$225)</f>
        <v>2.3155184907767774</v>
      </c>
      <c r="C67" cm="1">
        <f t="array" ref="C67">MuertesPensionadosEnAnio("Femenino",A67,Hombres!$A$1:$DW$225,Mujeres!$A$1:$DW$117,Pensionados!$A$2:$G$166,'Empleados activos'!$A$2:$I$225)</f>
        <v>2.8766477871836211</v>
      </c>
      <c r="D67">
        <f t="shared" ref="D67:D96" si="2">B67+C67</f>
        <v>5.1921662779603981</v>
      </c>
    </row>
    <row r="68" spans="1:4" x14ac:dyDescent="0.35">
      <c r="A68">
        <f t="shared" ref="A68:A96" si="3">A67+1</f>
        <v>2091</v>
      </c>
      <c r="B68" cm="1">
        <f t="array" ref="B68">MuertesPensionadosEnAnio("Masculino",A68,Hombres!$A$1:$DW$225,Mujeres!$A$1:$DW$117,Pensionados!$A$2:$G$166,'Empleados activos'!$A$2:$I$225)</f>
        <v>2.1347939573377199</v>
      </c>
      <c r="C68" cm="1">
        <f t="array" ref="C68">MuertesPensionadosEnAnio("Femenino",A68,Hombres!$A$1:$DW$225,Mujeres!$A$1:$DW$117,Pensionados!$A$2:$G$166,'Empleados activos'!$A$2:$I$225)</f>
        <v>2.6878098702035715</v>
      </c>
      <c r="D68">
        <f t="shared" si="2"/>
        <v>4.8226038275412915</v>
      </c>
    </row>
    <row r="69" spans="1:4" x14ac:dyDescent="0.35">
      <c r="A69">
        <f t="shared" si="3"/>
        <v>2092</v>
      </c>
      <c r="B69" cm="1">
        <f t="array" ref="B69">MuertesPensionadosEnAnio("Masculino",A69,Hombres!$A$1:$DW$225,Mujeres!$A$1:$DW$117,Pensionados!$A$2:$G$166,'Empleados activos'!$A$2:$I$225)</f>
        <v>1.9464462198595711</v>
      </c>
      <c r="C69" cm="1">
        <f t="array" ref="C69">MuertesPensionadosEnAnio("Femenino",A69,Hombres!$A$1:$DW$225,Mujeres!$A$1:$DW$117,Pensionados!$A$2:$G$166,'Empleados activos'!$A$2:$I$225)</f>
        <v>2.4840629588082166</v>
      </c>
      <c r="D69">
        <f t="shared" si="2"/>
        <v>4.4305091786677879</v>
      </c>
    </row>
    <row r="70" spans="1:4" x14ac:dyDescent="0.35">
      <c r="A70">
        <f t="shared" si="3"/>
        <v>2093</v>
      </c>
      <c r="B70" cm="1">
        <f t="array" ref="B70">MuertesPensionadosEnAnio("Masculino",A70,Hombres!$A$1:$DW$225,Mujeres!$A$1:$DW$117,Pensionados!$A$2:$G$166,'Empleados activos'!$A$2:$I$225)</f>
        <v>1.7544760602803813</v>
      </c>
      <c r="C70" cm="1">
        <f t="array" ref="C70">MuertesPensionadosEnAnio("Femenino",A70,Hombres!$A$1:$DW$225,Mujeres!$A$1:$DW$117,Pensionados!$A$2:$G$166,'Empleados activos'!$A$2:$I$225)</f>
        <v>2.2683576340852274</v>
      </c>
      <c r="D70">
        <f t="shared" si="2"/>
        <v>4.0228336943656089</v>
      </c>
    </row>
    <row r="71" spans="1:4" x14ac:dyDescent="0.35">
      <c r="A71">
        <f t="shared" si="3"/>
        <v>2094</v>
      </c>
      <c r="B71" cm="1">
        <f t="array" ref="B71">MuertesPensionadosEnAnio("Masculino",A71,Hombres!$A$1:$DW$225,Mujeres!$A$1:$DW$117,Pensionados!$A$2:$G$166,'Empleados activos'!$A$2:$I$225)</f>
        <v>1.5623190764365971</v>
      </c>
      <c r="C71" cm="1">
        <f t="array" ref="C71">MuertesPensionadosEnAnio("Femenino",A71,Hombres!$A$1:$DW$225,Mujeres!$A$1:$DW$117,Pensionados!$A$2:$G$166,'Empleados activos'!$A$2:$I$225)</f>
        <v>2.0433386521813843</v>
      </c>
      <c r="D71">
        <f t="shared" si="2"/>
        <v>3.6056577286179814</v>
      </c>
    </row>
    <row r="72" spans="1:4" x14ac:dyDescent="0.35">
      <c r="A72">
        <f t="shared" si="3"/>
        <v>2095</v>
      </c>
      <c r="B72" cm="1">
        <f t="array" ref="B72">MuertesPensionadosEnAnio("Masculino",A72,Hombres!$A$1:$DW$225,Mujeres!$A$1:$DW$117,Pensionados!$A$2:$G$166,'Empleados activos'!$A$2:$I$225)</f>
        <v>1.3740789608651069</v>
      </c>
      <c r="C72" cm="1">
        <f t="array" ref="C72">MuertesPensionadosEnAnio("Femenino",A72,Hombres!$A$1:$DW$225,Mujeres!$A$1:$DW$117,Pensionados!$A$2:$G$166,'Empleados activos'!$A$2:$I$225)</f>
        <v>1.813185850838789</v>
      </c>
      <c r="D72">
        <f t="shared" si="2"/>
        <v>3.187264811703896</v>
      </c>
    </row>
    <row r="73" spans="1:4" x14ac:dyDescent="0.35">
      <c r="A73">
        <f t="shared" si="3"/>
        <v>2096</v>
      </c>
      <c r="B73" cm="1">
        <f t="array" ref="B73">MuertesPensionadosEnAnio("Masculino",A73,Hombres!$A$1:$DW$225,Mujeres!$A$1:$DW$117,Pensionados!$A$2:$G$166,'Empleados activos'!$A$2:$I$225)</f>
        <v>1.1942908981869449</v>
      </c>
      <c r="C73" cm="1">
        <f t="array" ref="C73">MuertesPensionadosEnAnio("Femenino",A73,Hombres!$A$1:$DW$225,Mujeres!$A$1:$DW$117,Pensionados!$A$2:$G$166,'Empleados activos'!$A$2:$I$225)</f>
        <v>1.583491256114786</v>
      </c>
      <c r="D73">
        <f t="shared" si="2"/>
        <v>2.7777821543017307</v>
      </c>
    </row>
    <row r="74" spans="1:4" x14ac:dyDescent="0.35">
      <c r="A74">
        <f t="shared" si="3"/>
        <v>2097</v>
      </c>
      <c r="B74" cm="1">
        <f t="array" ref="B74">MuertesPensionadosEnAnio("Masculino",A74,Hombres!$A$1:$DW$225,Mujeres!$A$1:$DW$117,Pensionados!$A$2:$G$166,'Empleados activos'!$A$2:$I$225)</f>
        <v>1.0263310751184758</v>
      </c>
      <c r="C74" cm="1">
        <f t="array" ref="C74">MuertesPensionadosEnAnio("Femenino",A74,Hombres!$A$1:$DW$225,Mujeres!$A$1:$DW$117,Pensionados!$A$2:$G$166,'Empleados activos'!$A$2:$I$225)</f>
        <v>1.3596443786749604</v>
      </c>
      <c r="D74">
        <f t="shared" si="2"/>
        <v>2.3859754537934359</v>
      </c>
    </row>
    <row r="75" spans="1:4" x14ac:dyDescent="0.35">
      <c r="A75">
        <f t="shared" si="3"/>
        <v>2098</v>
      </c>
      <c r="B75" cm="1">
        <f t="array" ref="B75">MuertesPensionadosEnAnio("Masculino",A75,Hombres!$A$1:$DW$225,Mujeres!$A$1:$DW$117,Pensionados!$A$2:$G$166,'Empleados activos'!$A$2:$I$225)</f>
        <v>0.87203322636720171</v>
      </c>
      <c r="C75" cm="1">
        <f t="array" ref="C75">MuertesPensionadosEnAnio("Femenino",A75,Hombres!$A$1:$DW$225,Mujeres!$A$1:$DW$117,Pensionados!$A$2:$G$166,'Empleados activos'!$A$2:$I$225)</f>
        <v>1.1461575043759809</v>
      </c>
      <c r="D75">
        <f t="shared" si="2"/>
        <v>2.0181907307431826</v>
      </c>
    </row>
    <row r="76" spans="1:4" x14ac:dyDescent="0.35">
      <c r="A76">
        <f t="shared" si="3"/>
        <v>2099</v>
      </c>
      <c r="B76" cm="1">
        <f t="array" ref="B76">MuertesPensionadosEnAnio("Masculino",A76,Hombres!$A$1:$DW$225,Mujeres!$A$1:$DW$117,Pensionados!$A$2:$G$166,'Empleados activos'!$A$2:$I$225)</f>
        <v>0.73193237950465317</v>
      </c>
      <c r="C76" cm="1">
        <f t="array" ref="C76">MuertesPensionadosEnAnio("Femenino",A76,Hombres!$A$1:$DW$225,Mujeres!$A$1:$DW$117,Pensionados!$A$2:$G$166,'Empleados activos'!$A$2:$I$225)</f>
        <v>0.94679733730910132</v>
      </c>
      <c r="D76">
        <f t="shared" si="2"/>
        <v>1.6787297168137545</v>
      </c>
    </row>
    <row r="77" spans="1:4" x14ac:dyDescent="0.35">
      <c r="A77">
        <f t="shared" si="3"/>
        <v>2100</v>
      </c>
      <c r="B77" cm="1">
        <f t="array" ref="B77">MuertesPensionadosEnAnio("Masculino",A77,Hombres!$A$1:$DW$225,Mujeres!$A$1:$DW$117,Pensionados!$A$2:$G$166,'Empleados activos'!$A$2:$I$225)</f>
        <v>0.60625626302536961</v>
      </c>
      <c r="C77" cm="1">
        <f t="array" ref="C77">MuertesPensionadosEnAnio("Femenino",A77,Hombres!$A$1:$DW$225,Mujeres!$A$1:$DW$117,Pensionados!$A$2:$G$166,'Empleados activos'!$A$2:$I$225)</f>
        <v>0.76502846559548632</v>
      </c>
      <c r="D77">
        <f t="shared" si="2"/>
        <v>1.3712847286208558</v>
      </c>
    </row>
    <row r="78" spans="1:4" x14ac:dyDescent="0.35">
      <c r="A78">
        <f t="shared" si="3"/>
        <v>2101</v>
      </c>
      <c r="B78" cm="1">
        <f t="array" ref="B78">MuertesPensionadosEnAnio("Masculino",A78,Hombres!$A$1:$DW$225,Mujeres!$A$1:$DW$117,Pensionados!$A$2:$G$166,'Empleados activos'!$A$2:$I$225)</f>
        <v>0.49503449112619857</v>
      </c>
      <c r="C78" cm="1">
        <f t="array" ref="C78">MuertesPensionadosEnAnio("Femenino",A78,Hombres!$A$1:$DW$225,Mujeres!$A$1:$DW$117,Pensionados!$A$2:$G$166,'Empleados activos'!$A$2:$I$225)</f>
        <v>0.60355571040379996</v>
      </c>
      <c r="D78">
        <f t="shared" si="2"/>
        <v>1.0985902015299986</v>
      </c>
    </row>
    <row r="79" spans="1:4" x14ac:dyDescent="0.35">
      <c r="A79">
        <f t="shared" si="3"/>
        <v>2102</v>
      </c>
      <c r="B79" cm="1">
        <f t="array" ref="B79">MuertesPensionadosEnAnio("Masculino",A79,Hombres!$A$1:$DW$225,Mujeres!$A$1:$DW$117,Pensionados!$A$2:$G$166,'Empleados activos'!$A$2:$I$225)</f>
        <v>0.39783018038550827</v>
      </c>
      <c r="C79" cm="1">
        <f t="array" ref="C79">MuertesPensionadosEnAnio("Femenino",A79,Hombres!$A$1:$DW$225,Mujeres!$A$1:$DW$117,Pensionados!$A$2:$G$166,'Empleados activos'!$A$2:$I$225)</f>
        <v>0.4637220675785837</v>
      </c>
      <c r="D79">
        <f t="shared" si="2"/>
        <v>0.86155224796409202</v>
      </c>
    </row>
    <row r="80" spans="1:4" x14ac:dyDescent="0.35">
      <c r="A80">
        <f t="shared" si="3"/>
        <v>2103</v>
      </c>
      <c r="B80" cm="1">
        <f t="array" ref="B80">MuertesPensionadosEnAnio("Masculino",A80,Hombres!$A$1:$DW$225,Mujeres!$A$1:$DW$117,Pensionados!$A$2:$G$166,'Empleados activos'!$A$2:$I$225)</f>
        <v>0.3138257000084051</v>
      </c>
      <c r="C80" cm="1">
        <f t="array" ref="C80">MuertesPensionadosEnAnio("Femenino",A80,Hombres!$A$1:$DW$225,Mujeres!$A$1:$DW$117,Pensionados!$A$2:$G$166,'Empleados activos'!$A$2:$I$225)</f>
        <v>0.34563342348871651</v>
      </c>
      <c r="D80">
        <f t="shared" si="2"/>
        <v>0.65945912349712166</v>
      </c>
    </row>
    <row r="81" spans="1:4" x14ac:dyDescent="0.35">
      <c r="A81">
        <f t="shared" si="3"/>
        <v>2104</v>
      </c>
      <c r="B81" cm="1">
        <f t="array" ref="B81">MuertesPensionadosEnAnio("Masculino",A81,Hombres!$A$1:$DW$225,Mujeres!$A$1:$DW$117,Pensionados!$A$2:$G$166,'Empleados activos'!$A$2:$I$225)</f>
        <v>0.24218321145187061</v>
      </c>
      <c r="C81" cm="1">
        <f t="array" ref="C81">MuertesPensionadosEnAnio("Femenino",A81,Hombres!$A$1:$DW$225,Mujeres!$A$1:$DW$117,Pensionados!$A$2:$G$166,'Empleados activos'!$A$2:$I$225)</f>
        <v>0.24859075286176616</v>
      </c>
      <c r="D81">
        <f t="shared" si="2"/>
        <v>0.49077396431363673</v>
      </c>
    </row>
    <row r="82" spans="1:4" x14ac:dyDescent="0.35">
      <c r="A82">
        <f t="shared" si="3"/>
        <v>2105</v>
      </c>
      <c r="B82" cm="1">
        <f t="array" ref="B82">MuertesPensionadosEnAnio("Masculino",A82,Hombres!$A$1:$DW$225,Mujeres!$A$1:$DW$117,Pensionados!$A$2:$G$166,'Empleados activos'!$A$2:$I$225)</f>
        <v>0.18221269613686833</v>
      </c>
      <c r="C82" cm="1">
        <f t="array" ref="C82">MuertesPensionadosEnAnio("Femenino",A82,Hombres!$A$1:$DW$225,Mujeres!$A$1:$DW$117,Pensionados!$A$2:$G$166,'Empleados activos'!$A$2:$I$225)</f>
        <v>0.17142575341084715</v>
      </c>
      <c r="D82">
        <f t="shared" si="2"/>
        <v>0.35363844954771551</v>
      </c>
    </row>
    <row r="83" spans="1:4" x14ac:dyDescent="0.35">
      <c r="A83">
        <f t="shared" si="3"/>
        <v>2106</v>
      </c>
      <c r="B83" cm="1">
        <f t="array" ref="B83">MuertesPensionadosEnAnio("Masculino",A83,Hombres!$A$1:$DW$225,Mujeres!$A$1:$DW$117,Pensionados!$A$2:$G$166,'Empleados activos'!$A$2:$I$225)</f>
        <v>0.13326238619601716</v>
      </c>
      <c r="C83" cm="1">
        <f t="array" ref="C83">MuertesPensionadosEnAnio("Femenino",A83,Hombres!$A$1:$DW$225,Mujeres!$A$1:$DW$117,Pensionados!$A$2:$G$166,'Empleados activos'!$A$2:$I$225)</f>
        <v>0.11247909871642445</v>
      </c>
      <c r="D83">
        <f t="shared" si="2"/>
        <v>0.2457414849124416</v>
      </c>
    </row>
    <row r="84" spans="1:4" x14ac:dyDescent="0.35">
      <c r="A84">
        <f t="shared" si="3"/>
        <v>2107</v>
      </c>
      <c r="B84" cm="1">
        <f t="array" ref="B84">MuertesPensionadosEnAnio("Masculino",A84,Hombres!$A$1:$DW$225,Mujeres!$A$1:$DW$117,Pensionados!$A$2:$G$166,'Empleados activos'!$A$2:$I$225)</f>
        <v>9.4406968548980702E-2</v>
      </c>
      <c r="C84" cm="1">
        <f t="array" ref="C84">MuertesPensionadosEnAnio("Femenino",A84,Hombres!$A$1:$DW$225,Mujeres!$A$1:$DW$117,Pensionados!$A$2:$G$166,'Empleados activos'!$A$2:$I$225)</f>
        <v>6.9559722361597159E-2</v>
      </c>
      <c r="D84">
        <f t="shared" si="2"/>
        <v>0.16396669091057786</v>
      </c>
    </row>
    <row r="85" spans="1:4" x14ac:dyDescent="0.35">
      <c r="A85">
        <f t="shared" si="3"/>
        <v>2108</v>
      </c>
      <c r="B85" cm="1">
        <f t="array" ref="B85">MuertesPensionadosEnAnio("Masculino",A85,Hombres!$A$1:$DW$225,Mujeres!$A$1:$DW$117,Pensionados!$A$2:$G$166,'Empleados activos'!$A$2:$I$225)</f>
        <v>6.4572744960793599E-2</v>
      </c>
      <c r="C85" cm="1">
        <f t="array" ref="C85">MuertesPensionadosEnAnio("Femenino",A85,Hombres!$A$1:$DW$225,Mujeres!$A$1:$DW$117,Pensionados!$A$2:$G$166,'Empleados activos'!$A$2:$I$225)</f>
        <v>4.0067612918364082E-2</v>
      </c>
      <c r="D85">
        <f t="shared" si="2"/>
        <v>0.10464035787915768</v>
      </c>
    </row>
    <row r="86" spans="1:4" x14ac:dyDescent="0.35">
      <c r="A86">
        <f t="shared" si="3"/>
        <v>2109</v>
      </c>
      <c r="B86" cm="1">
        <f t="array" ref="B86">MuertesPensionadosEnAnio("Masculino",A86,Hombres!$A$1:$DW$225,Mujeres!$A$1:$DW$117,Pensionados!$A$2:$G$166,'Empleados activos'!$A$2:$I$225)</f>
        <v>4.2436774581533908E-2</v>
      </c>
      <c r="C86" cm="1">
        <f t="array" ref="C86">MuertesPensionadosEnAnio("Femenino",A86,Hombres!$A$1:$DW$225,Mujeres!$A$1:$DW$117,Pensionados!$A$2:$G$166,'Empleados activos'!$A$2:$I$225)</f>
        <v>2.1187121306512343E-2</v>
      </c>
      <c r="D86">
        <f t="shared" si="2"/>
        <v>6.3623895888046247E-2</v>
      </c>
    </row>
    <row r="87" spans="1:4" x14ac:dyDescent="0.35">
      <c r="A87">
        <f t="shared" si="3"/>
        <v>2110</v>
      </c>
      <c r="B87" cm="1">
        <f t="array" ref="B87">MuertesPensionadosEnAnio("Masculino",A87,Hombres!$A$1:$DW$225,Mujeres!$A$1:$DW$117,Pensionados!$A$2:$G$166,'Empleados activos'!$A$2:$I$225)</f>
        <v>2.666055427625012E-2</v>
      </c>
      <c r="C87" cm="1">
        <f t="array" ref="C87">MuertesPensionadosEnAnio("Femenino",A87,Hombres!$A$1:$DW$225,Mujeres!$A$1:$DW$117,Pensionados!$A$2:$G$166,'Empleados activos'!$A$2:$I$225)</f>
        <v>1.0103692283107748E-2</v>
      </c>
      <c r="D87">
        <f t="shared" si="2"/>
        <v>3.6764246559357866E-2</v>
      </c>
    </row>
    <row r="88" spans="1:4" x14ac:dyDescent="0.35">
      <c r="A88">
        <f t="shared" si="3"/>
        <v>2111</v>
      </c>
      <c r="B88" cm="1">
        <f t="array" ref="B88">MuertesPensionadosEnAnio("Masculino",A88,Hombres!$A$1:$DW$225,Mujeres!$A$1:$DW$117,Pensionados!$A$2:$G$166,'Empleados activos'!$A$2:$I$225)</f>
        <v>1.5917255136275593E-2</v>
      </c>
      <c r="C88" cm="1">
        <f t="array" ref="C88">MuertesPensionadosEnAnio("Femenino",A88,Hombres!$A$1:$DW$225,Mujeres!$A$1:$DW$117,Pensionados!$A$2:$G$166,'Empleados activos'!$A$2:$I$225)</f>
        <v>4.249854268605132E-3</v>
      </c>
      <c r="D88">
        <f t="shared" si="2"/>
        <v>2.0167109404880725E-2</v>
      </c>
    </row>
    <row r="89" spans="1:4" x14ac:dyDescent="0.35">
      <c r="A89">
        <f t="shared" si="3"/>
        <v>2112</v>
      </c>
      <c r="B89" cm="1">
        <f t="array" ref="B89">MuertesPensionadosEnAnio("Masculino",A89,Hombres!$A$1:$DW$225,Mujeres!$A$1:$DW$117,Pensionados!$A$2:$G$166,'Empleados activos'!$A$2:$I$225)</f>
        <v>8.9717834648641304E-3</v>
      </c>
      <c r="C89" cm="1">
        <f t="array" ref="C89">MuertesPensionadosEnAnio("Femenino",A89,Hombres!$A$1:$DW$225,Mujeres!$A$1:$DW$117,Pensionados!$A$2:$G$166,'Empleados activos'!$A$2:$I$225)</f>
        <v>1.5315282210110752E-3</v>
      </c>
      <c r="D89">
        <f t="shared" si="2"/>
        <v>1.0503311685875205E-2</v>
      </c>
    </row>
    <row r="90" spans="1:4" x14ac:dyDescent="0.35">
      <c r="A90">
        <f t="shared" si="3"/>
        <v>2113</v>
      </c>
      <c r="B90" cm="1">
        <f t="array" ref="B90">MuertesPensionadosEnAnio("Masculino",A90,Hombres!$A$1:$DW$225,Mujeres!$A$1:$DW$117,Pensionados!$A$2:$G$166,'Empleados activos'!$A$2:$I$225)</f>
        <v>4.7282799251485976E-3</v>
      </c>
      <c r="C90" cm="1">
        <f t="array" ref="C90">MuertesPensionadosEnAnio("Femenino",A90,Hombres!$A$1:$DW$225,Mujeres!$A$1:$DW$117,Pensionados!$A$2:$G$166,'Empleados activos'!$A$2:$I$225)</f>
        <v>4.5466311594861985E-4</v>
      </c>
      <c r="D90">
        <f t="shared" si="2"/>
        <v>5.1829430410972174E-3</v>
      </c>
    </row>
    <row r="91" spans="1:4" x14ac:dyDescent="0.35">
      <c r="A91">
        <f t="shared" si="3"/>
        <v>2114</v>
      </c>
      <c r="B91" cm="1">
        <f t="array" ref="B91">MuertesPensionadosEnAnio("Masculino",A91,Hombres!$A$1:$DW$225,Mujeres!$A$1:$DW$117,Pensionados!$A$2:$G$166,'Empleados activos'!$A$2:$I$225)</f>
        <v>2.2706170529667256E-3</v>
      </c>
      <c r="C91" cm="1">
        <f t="array" ref="C91">MuertesPensionadosEnAnio("Femenino",A91,Hombres!$A$1:$DW$225,Mujeres!$A$1:$DW$117,Pensionados!$A$2:$G$166,'Empleados activos'!$A$2:$I$225)</f>
        <v>1.0476957919773591E-4</v>
      </c>
      <c r="D91">
        <f t="shared" si="2"/>
        <v>2.3753866321644616E-3</v>
      </c>
    </row>
    <row r="92" spans="1:4" x14ac:dyDescent="0.35">
      <c r="A92">
        <f t="shared" si="3"/>
        <v>2115</v>
      </c>
      <c r="B92" cm="1">
        <f t="array" ref="B92">MuertesPensionadosEnAnio("Masculino",A92,Hombres!$A$1:$DW$225,Mujeres!$A$1:$DW$117,Pensionados!$A$2:$G$166,'Empleados activos'!$A$2:$I$225)</f>
        <v>1.0002467755755105E-3</v>
      </c>
      <c r="C92" cm="1">
        <f t="array" ref="C92">MuertesPensionadosEnAnio("Femenino",A92,Hombres!$A$1:$DW$225,Mujeres!$A$1:$DW$117,Pensionados!$A$2:$G$166,'Empleados activos'!$A$2:$I$225)</f>
        <v>1.7071722120631279E-5</v>
      </c>
      <c r="D92">
        <f t="shared" si="2"/>
        <v>1.0173184976961418E-3</v>
      </c>
    </row>
    <row r="93" spans="1:4" x14ac:dyDescent="0.35">
      <c r="A93">
        <f t="shared" si="3"/>
        <v>2116</v>
      </c>
      <c r="B93" cm="1">
        <f t="array" ref="B93">MuertesPensionadosEnAnio("Masculino",A93,Hombres!$A$1:$DW$225,Mujeres!$A$1:$DW$117,Pensionados!$A$2:$G$166,'Empleados activos'!$A$2:$I$225)</f>
        <v>3.8775029476425914E-4</v>
      </c>
      <c r="C93" cm="1">
        <f t="array" ref="C93">MuertesPensionadosEnAnio("Femenino",A93,Hombres!$A$1:$DW$225,Mujeres!$A$1:$DW$117,Pensionados!$A$2:$G$166,'Empleados activos'!$A$2:$I$225)</f>
        <v>1.5444588584630677E-6</v>
      </c>
      <c r="D93">
        <f t="shared" si="2"/>
        <v>3.8929475362272221E-4</v>
      </c>
    </row>
    <row r="94" spans="1:4" x14ac:dyDescent="0.35">
      <c r="A94">
        <f t="shared" si="3"/>
        <v>2117</v>
      </c>
      <c r="B94" cm="1">
        <f t="array" ref="B94">MuertesPensionadosEnAnio("Masculino",A94,Hombres!$A$1:$DW$225,Mujeres!$A$1:$DW$117,Pensionados!$A$2:$G$166,'Empleados activos'!$A$2:$I$225)</f>
        <v>1.3134482468622793E-4</v>
      </c>
      <c r="C94" cm="1">
        <f t="array" ref="C94">MuertesPensionadosEnAnio("Femenino",A94,Hombres!$A$1:$DW$225,Mujeres!$A$1:$DW$117,Pensionados!$A$2:$G$166,'Empleados activos'!$A$2:$I$225)</f>
        <v>0</v>
      </c>
      <c r="D94">
        <f t="shared" si="2"/>
        <v>1.3134482468622793E-4</v>
      </c>
    </row>
    <row r="95" spans="1:4" x14ac:dyDescent="0.35">
      <c r="A95">
        <f t="shared" si="3"/>
        <v>2118</v>
      </c>
      <c r="B95" cm="1">
        <f t="array" ref="B95">MuertesPensionadosEnAnio("Masculino",A95,Hombres!$A$1:$DW$225,Mujeres!$A$1:$DW$117,Pensionados!$A$2:$G$166,'Empleados activos'!$A$2:$I$225)</f>
        <v>4.3293508371404686E-5</v>
      </c>
      <c r="C95" cm="1">
        <f t="array" ref="C95">MuertesPensionadosEnAnio("Femenino",A95,Hombres!$A$1:$DW$225,Mujeres!$A$1:$DW$117,Pensionados!$A$2:$G$166,'Empleados activos'!$A$2:$I$225)</f>
        <v>0</v>
      </c>
      <c r="D95">
        <f t="shared" si="2"/>
        <v>4.3293508371404686E-5</v>
      </c>
    </row>
    <row r="96" spans="1:4" x14ac:dyDescent="0.35">
      <c r="A96">
        <f t="shared" si="3"/>
        <v>2119</v>
      </c>
      <c r="B96" cm="1">
        <f t="array" ref="B96">MuertesPensionadosEnAnio("Masculino",A96,Hombres!$A$1:$DW$225,Mujeres!$A$1:$DW$117,Pensionados!$A$2:$G$166,'Empleados activos'!$A$2:$I$225)</f>
        <v>0</v>
      </c>
      <c r="C96" cm="1">
        <f t="array" ref="C96">MuertesPensionadosEnAnio("Femenino",A96,Hombres!$A$1:$DW$225,Mujeres!$A$1:$DW$117,Pensionados!$A$2:$G$166,'Empleados activos'!$A$2:$I$225)</f>
        <v>0</v>
      </c>
      <c r="D96">
        <f t="shared" si="2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61214f1e-7c9c-4651-838e-70ecd5869fc2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Pensionados</vt:lpstr>
      <vt:lpstr>Empleados activos</vt:lpstr>
      <vt:lpstr>Primas por edad y sexo</vt:lpstr>
      <vt:lpstr>Hombres</vt:lpstr>
      <vt:lpstr>Mujeres</vt:lpstr>
      <vt:lpstr>Pro Empleados Activos</vt:lpstr>
      <vt:lpstr>Muertes Activos</vt:lpstr>
      <vt:lpstr>ProPensionados(b)</vt:lpstr>
      <vt:lpstr>MuertesPensionados(d)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Gerardo Picado Bermudez</cp:lastModifiedBy>
  <dcterms:created xsi:type="dcterms:W3CDTF">2018-05-03T14:51:58Z</dcterms:created>
  <dcterms:modified xsi:type="dcterms:W3CDTF">2026-06-09T08:15:02Z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