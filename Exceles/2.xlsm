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Proyecto-ContingenciasI-I-2026\Exceles\"/>
    </mc:Choice>
  </mc:AlternateContent>
  <xr:revisionPtr revIDLastSave="0" documentId="8_{71B59D92-ECEB-40EB-863A-E905224D8DCF}" xr6:coauthVersionLast="47" xr6:coauthVersionMax="47" xr10:uidLastSave="{00000000-0000-0000-0000-000000000000}"/>
  <bookViews>
    <workbookView xWindow="-110" yWindow="-110" windowWidth="19420" windowHeight="10300" firstSheet="2" activeTab="2" xr2:uid="{389A4FBA-6D60-4A09-A3C4-7908ECC83B94}"/>
  </bookViews>
  <sheets>
    <sheet name="Supuestos" sheetId="20" r:id="rId1"/>
    <sheet name="Pensionados" sheetId="11" r:id="rId2"/>
    <sheet name="Empleados activos" sheetId="12" r:id="rId3"/>
    <sheet name="Primas por edad y sexo" sheetId="15" r:id="rId4"/>
    <sheet name="MuertesPensionados(d)" sheetId="19" r:id="rId5"/>
    <sheet name="Muertes Activos" sheetId="17" r:id="rId6"/>
    <sheet name="Pro Empleados Activos" sheetId="16" r:id="rId7"/>
    <sheet name="Proyección Beneficios muerAct" sheetId="21" r:id="rId8"/>
    <sheet name="Proyección salarial" sheetId="22" r:id="rId9"/>
    <sheet name="ProPensionados(b)" sheetId="18" r:id="rId10"/>
    <sheet name="Hombres" sheetId="14" r:id="rId11"/>
    <sheet name="Mujeres" sheetId="9" r:id="rId12"/>
  </sheets>
  <functionGroups builtInGroupCount="19"/>
  <definedNames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7" i="19" l="1"/>
  <c r="L2" i="12" a="1"/>
  <c r="C5" i="21" a="1"/>
  <c r="C7" i="21" a="1"/>
  <c r="C9" i="21" a="1"/>
  <c r="C11" i="21" a="1"/>
  <c r="C13" i="21" a="1"/>
  <c r="C15" i="21" a="1"/>
  <c r="C17" i="21" a="1"/>
  <c r="C19" i="21" a="1"/>
  <c r="C21" i="21" a="1"/>
  <c r="C23" i="21" a="1"/>
  <c r="C25" i="21" a="1"/>
  <c r="C27" i="21" a="1"/>
  <c r="C29" i="21" a="1"/>
  <c r="C31" i="21" a="1"/>
  <c r="C33" i="21" a="1"/>
  <c r="C35" i="21" a="1"/>
  <c r="C37" i="21" a="1"/>
  <c r="C39" i="21" a="1"/>
  <c r="C41" i="21" a="1"/>
  <c r="C43" i="21" a="1"/>
  <c r="C45" i="21" a="1"/>
  <c r="C47" i="21" a="1"/>
  <c r="C49" i="21" a="1"/>
  <c r="C51" i="21" a="1"/>
  <c r="C53" i="21" a="1"/>
  <c r="C55" i="21" a="1"/>
  <c r="C57" i="21" a="1"/>
  <c r="C59" i="21" a="1"/>
  <c r="C61" i="21" a="1"/>
  <c r="C63" i="21" a="1"/>
  <c r="C65" i="21" a="1"/>
  <c r="C67" i="21" a="1"/>
  <c r="C69" i="21" a="1"/>
  <c r="C71" i="21" a="1"/>
  <c r="C73" i="21" a="1"/>
  <c r="C75" i="21" a="1"/>
  <c r="C77" i="21" a="1"/>
  <c r="C79" i="21" a="1"/>
  <c r="C81" i="21" a="1"/>
  <c r="C83" i="21" a="1"/>
  <c r="C85" i="21" a="1"/>
  <c r="C87" i="21" a="1"/>
  <c r="C89" i="21" a="1"/>
  <c r="C91" i="21" a="1"/>
  <c r="C93" i="21" a="1"/>
  <c r="C95" i="21" a="1"/>
  <c r="C97" i="21" a="1"/>
  <c r="C99" i="21" a="1"/>
  <c r="C52" i="21" a="1"/>
  <c r="C66" i="21" a="1"/>
  <c r="C70" i="21" a="1"/>
  <c r="C74" i="21" a="1"/>
  <c r="C78" i="21" a="1"/>
  <c r="C82" i="21" a="1"/>
  <c r="C86" i="21" a="1"/>
  <c r="C90" i="21" a="1"/>
  <c r="C94" i="21" a="1"/>
  <c r="C98" i="21" a="1"/>
  <c r="C6" i="21" a="1"/>
  <c r="C8" i="21" a="1"/>
  <c r="C10" i="21" a="1"/>
  <c r="C12" i="21" a="1"/>
  <c r="C14" i="21" a="1"/>
  <c r="C16" i="21" a="1"/>
  <c r="C18" i="21" a="1"/>
  <c r="C20" i="21" a="1"/>
  <c r="C22" i="21" a="1"/>
  <c r="C24" i="21" a="1"/>
  <c r="C26" i="21" a="1"/>
  <c r="C28" i="21" a="1"/>
  <c r="C30" i="21" a="1"/>
  <c r="C32" i="21" a="1"/>
  <c r="C34" i="21" a="1"/>
  <c r="C36" i="21" a="1"/>
  <c r="C38" i="21" a="1"/>
  <c r="C40" i="21" a="1"/>
  <c r="C42" i="21" a="1"/>
  <c r="C44" i="21" a="1"/>
  <c r="C46" i="21" a="1"/>
  <c r="C48" i="21" a="1"/>
  <c r="C50" i="21" a="1"/>
  <c r="C54" i="21" a="1"/>
  <c r="C56" i="21" a="1"/>
  <c r="C58" i="21" a="1"/>
  <c r="C60" i="21" a="1"/>
  <c r="C62" i="21" a="1"/>
  <c r="C64" i="21" a="1"/>
  <c r="C68" i="21" a="1"/>
  <c r="C72" i="21" a="1"/>
  <c r="C76" i="21" a="1"/>
  <c r="C80" i="21" a="1"/>
  <c r="C84" i="21" a="1"/>
  <c r="C88" i="21" a="1"/>
  <c r="C92" i="21" a="1"/>
  <c r="C96" i="21" a="1"/>
  <c r="C4" i="21" a="1"/>
  <c r="B4" i="21" a="1"/>
  <c r="B5" i="21" a="1"/>
  <c r="B7" i="21" a="1"/>
  <c r="B9" i="21" a="1"/>
  <c r="B11" i="21" a="1"/>
  <c r="B13" i="21" a="1"/>
  <c r="B15" i="21" a="1"/>
  <c r="B17" i="21" a="1"/>
  <c r="B19" i="21" a="1"/>
  <c r="B21" i="21" a="1"/>
  <c r="B23" i="21" a="1"/>
  <c r="B25" i="21" a="1"/>
  <c r="B27" i="21" a="1"/>
  <c r="B29" i="21" a="1"/>
  <c r="B31" i="21" a="1"/>
  <c r="B33" i="21" a="1"/>
  <c r="B35" i="21" a="1"/>
  <c r="B37" i="21" a="1"/>
  <c r="B39" i="21" a="1"/>
  <c r="B41" i="21" a="1"/>
  <c r="B43" i="21" a="1"/>
  <c r="B45" i="21" a="1"/>
  <c r="B47" i="21" a="1"/>
  <c r="B49" i="21" a="1"/>
  <c r="B51" i="21" a="1"/>
  <c r="B53" i="21" a="1"/>
  <c r="B55" i="21" a="1"/>
  <c r="B57" i="21" a="1"/>
  <c r="B59" i="21" a="1"/>
  <c r="B61" i="21" a="1"/>
  <c r="B63" i="21" a="1"/>
  <c r="B65" i="21" a="1"/>
  <c r="B67" i="21" a="1"/>
  <c r="B69" i="21" a="1"/>
  <c r="B71" i="21" a="1"/>
  <c r="B73" i="21" a="1"/>
  <c r="B75" i="21" a="1"/>
  <c r="B77" i="21" a="1"/>
  <c r="B79" i="21" a="1"/>
  <c r="B81" i="21" a="1"/>
  <c r="B83" i="21" a="1"/>
  <c r="B85" i="21" a="1"/>
  <c r="B87" i="21" a="1"/>
  <c r="B89" i="21" a="1"/>
  <c r="B91" i="21" a="1"/>
  <c r="B93" i="21" a="1"/>
  <c r="B95" i="21" a="1"/>
  <c r="B97" i="21" a="1"/>
  <c r="B99" i="21" a="1"/>
  <c r="B34" i="21" a="1"/>
  <c r="B46" i="21" a="1"/>
  <c r="B50" i="21" a="1"/>
  <c r="B54" i="21" a="1"/>
  <c r="B58" i="21" a="1"/>
  <c r="B60" i="21" a="1"/>
  <c r="B64" i="21" a="1"/>
  <c r="B68" i="21" a="1"/>
  <c r="B74" i="21" a="1"/>
  <c r="B78" i="21" a="1"/>
  <c r="B82" i="21" a="1"/>
  <c r="B86" i="21" a="1"/>
  <c r="B90" i="21" a="1"/>
  <c r="B94" i="21" a="1"/>
  <c r="B98" i="21" a="1"/>
  <c r="B6" i="21" a="1"/>
  <c r="B8" i="21" a="1"/>
  <c r="B10" i="21" a="1"/>
  <c r="B12" i="21" a="1"/>
  <c r="B14" i="21" a="1"/>
  <c r="B16" i="21" a="1"/>
  <c r="B18" i="21" a="1"/>
  <c r="B20" i="21" a="1"/>
  <c r="B22" i="21" a="1"/>
  <c r="B24" i="21" a="1"/>
  <c r="B26" i="21" a="1"/>
  <c r="B28" i="21" a="1"/>
  <c r="B30" i="21" a="1"/>
  <c r="B32" i="21" a="1"/>
  <c r="B36" i="21" a="1"/>
  <c r="B38" i="21" a="1"/>
  <c r="B40" i="21" a="1"/>
  <c r="B42" i="21" a="1"/>
  <c r="B44" i="21" a="1"/>
  <c r="B48" i="21" a="1"/>
  <c r="B52" i="21" a="1"/>
  <c r="B56" i="21" a="1"/>
  <c r="B62" i="21" a="1"/>
  <c r="B66" i="21" a="1"/>
  <c r="B70" i="21" a="1"/>
  <c r="B72" i="21" a="1"/>
  <c r="B76" i="21" a="1"/>
  <c r="B80" i="21" a="1"/>
  <c r="B84" i="21" a="1"/>
  <c r="B88" i="21" a="1"/>
  <c r="B92" i="21" a="1"/>
  <c r="B96" i="21" a="1"/>
  <c r="D4" i="21" a="1"/>
  <c r="E5" i="21" a="1"/>
  <c r="E7" i="21" a="1"/>
  <c r="E9" i="21" a="1"/>
  <c r="E11" i="21" a="1"/>
  <c r="E13" i="21" a="1"/>
  <c r="E15" i="21" a="1"/>
  <c r="E17" i="21" a="1"/>
  <c r="E19" i="21" a="1"/>
  <c r="E21" i="21" a="1"/>
  <c r="E23" i="21" a="1"/>
  <c r="E25" i="21" a="1"/>
  <c r="E27" i="21" a="1"/>
  <c r="E29" i="21" a="1"/>
  <c r="E31" i="21" a="1"/>
  <c r="E33" i="21" a="1"/>
  <c r="E35" i="21" a="1"/>
  <c r="E37" i="21" a="1"/>
  <c r="E39" i="21" a="1"/>
  <c r="E41" i="21" a="1"/>
  <c r="E43" i="21" a="1"/>
  <c r="E45" i="21" a="1"/>
  <c r="E47" i="21" a="1"/>
  <c r="E49" i="21" a="1"/>
  <c r="E51" i="21" a="1"/>
  <c r="E53" i="21" a="1"/>
  <c r="E55" i="21" a="1"/>
  <c r="E57" i="21" a="1"/>
  <c r="E59" i="21" a="1"/>
  <c r="E61" i="21" a="1"/>
  <c r="E63" i="21" a="1"/>
  <c r="E65" i="21" a="1"/>
  <c r="E67" i="21" a="1"/>
  <c r="E69" i="21" a="1"/>
  <c r="E71" i="21" a="1"/>
  <c r="E73" i="21" a="1"/>
  <c r="E75" i="21" a="1"/>
  <c r="E77" i="21" a="1"/>
  <c r="E79" i="21" a="1"/>
  <c r="E81" i="21" a="1"/>
  <c r="E83" i="21" a="1"/>
  <c r="E85" i="21" a="1"/>
  <c r="E87" i="21" a="1"/>
  <c r="E89" i="21" a="1"/>
  <c r="E91" i="21" a="1"/>
  <c r="E93" i="21" a="1"/>
  <c r="E95" i="21" a="1"/>
  <c r="E97" i="21" a="1"/>
  <c r="E99" i="21" a="1"/>
  <c r="E52" i="21" a="1"/>
  <c r="E66" i="21" a="1"/>
  <c r="E70" i="21" a="1"/>
  <c r="E74" i="21" a="1"/>
  <c r="E78" i="21" a="1"/>
  <c r="E82" i="21" a="1"/>
  <c r="E86" i="21" a="1"/>
  <c r="E90" i="21" a="1"/>
  <c r="E94" i="21" a="1"/>
  <c r="E98" i="21" a="1"/>
  <c r="E6" i="21" a="1"/>
  <c r="E8" i="21" a="1"/>
  <c r="E10" i="21" a="1"/>
  <c r="E12" i="21" a="1"/>
  <c r="E14" i="21" a="1"/>
  <c r="E16" i="21" a="1"/>
  <c r="E18" i="21" a="1"/>
  <c r="E20" i="21" a="1"/>
  <c r="E22" i="21" a="1"/>
  <c r="E24" i="21" a="1"/>
  <c r="E26" i="21" a="1"/>
  <c r="E28" i="21" a="1"/>
  <c r="E30" i="21" a="1"/>
  <c r="E32" i="21" a="1"/>
  <c r="E34" i="21" a="1"/>
  <c r="E36" i="21" a="1"/>
  <c r="E38" i="21" a="1"/>
  <c r="E40" i="21" a="1"/>
  <c r="E42" i="21" a="1"/>
  <c r="E44" i="21" a="1"/>
  <c r="E46" i="21" a="1"/>
  <c r="E48" i="21" a="1"/>
  <c r="E50" i="21" a="1"/>
  <c r="E54" i="21" a="1"/>
  <c r="E56" i="21" a="1"/>
  <c r="E58" i="21" a="1"/>
  <c r="E60" i="21" a="1"/>
  <c r="E62" i="21" a="1"/>
  <c r="E64" i="21" a="1"/>
  <c r="E68" i="21" a="1"/>
  <c r="E72" i="21" a="1"/>
  <c r="E76" i="21" a="1"/>
  <c r="E80" i="21" a="1"/>
  <c r="E84" i="21" a="1"/>
  <c r="E88" i="21" a="1"/>
  <c r="E92" i="21" a="1"/>
  <c r="E96" i="21" a="1"/>
  <c r="E4" i="21" a="1"/>
  <c r="C97" i="19" a="1"/>
  <c r="B97" i="19" a="1"/>
  <c r="D98" i="21" a="1"/>
  <c r="D99" i="21" a="1"/>
  <c r="D91" i="21" a="1"/>
  <c r="D93" i="21" a="1"/>
  <c r="D95" i="21" a="1"/>
  <c r="D97" i="21" a="1"/>
  <c r="D92" i="21" a="1"/>
  <c r="D94" i="21" a="1"/>
  <c r="D96" i="21" a="1"/>
  <c r="D5" i="21" a="1"/>
  <c r="D7" i="21" a="1"/>
  <c r="D9" i="21" a="1"/>
  <c r="D11" i="21" a="1"/>
  <c r="D13" i="21" a="1"/>
  <c r="D15" i="21" a="1"/>
  <c r="D17" i="21" a="1"/>
  <c r="D19" i="21" a="1"/>
  <c r="D21" i="21" a="1"/>
  <c r="D23" i="21" a="1"/>
  <c r="D25" i="21" a="1"/>
  <c r="D27" i="21" a="1"/>
  <c r="D29" i="21" a="1"/>
  <c r="D31" i="21" a="1"/>
  <c r="D33" i="21" a="1"/>
  <c r="D35" i="21" a="1"/>
  <c r="D37" i="21" a="1"/>
  <c r="D39" i="21" a="1"/>
  <c r="D41" i="21" a="1"/>
  <c r="D43" i="21" a="1"/>
  <c r="D45" i="21" a="1"/>
  <c r="D47" i="21" a="1"/>
  <c r="D49" i="21" a="1"/>
  <c r="D51" i="21" a="1"/>
  <c r="D53" i="21" a="1"/>
  <c r="D55" i="21" a="1"/>
  <c r="D57" i="21" a="1"/>
  <c r="D59" i="21" a="1"/>
  <c r="D61" i="21" a="1"/>
  <c r="D63" i="21" a="1"/>
  <c r="D65" i="21" a="1"/>
  <c r="D67" i="21" a="1"/>
  <c r="D69" i="21" a="1"/>
  <c r="D71" i="21" a="1"/>
  <c r="D73" i="21" a="1"/>
  <c r="D75" i="21" a="1"/>
  <c r="D77" i="21" a="1"/>
  <c r="D79" i="21" a="1"/>
  <c r="D81" i="21" a="1"/>
  <c r="D83" i="21" a="1"/>
  <c r="D85" i="21" a="1"/>
  <c r="D87" i="21" a="1"/>
  <c r="D89" i="21" a="1"/>
  <c r="D6" i="21" a="1"/>
  <c r="D8" i="21" a="1"/>
  <c r="D10" i="21" a="1"/>
  <c r="D12" i="21" a="1"/>
  <c r="D14" i="21" a="1"/>
  <c r="D16" i="21" a="1"/>
  <c r="D18" i="21" a="1"/>
  <c r="D20" i="21" a="1"/>
  <c r="D22" i="21" a="1"/>
  <c r="D24" i="21" a="1"/>
  <c r="D26" i="21" a="1"/>
  <c r="D28" i="21" a="1"/>
  <c r="D30" i="21" a="1"/>
  <c r="D32" i="21" a="1"/>
  <c r="D34" i="21" a="1"/>
  <c r="D36" i="21" a="1"/>
  <c r="D38" i="21" a="1"/>
  <c r="D40" i="21" a="1"/>
  <c r="D42" i="21" a="1"/>
  <c r="D44" i="21" a="1"/>
  <c r="D46" i="21" a="1"/>
  <c r="D50" i="21" a="1"/>
  <c r="D54" i="21" a="1"/>
  <c r="D58" i="21" a="1"/>
  <c r="D62" i="21" a="1"/>
  <c r="D66" i="21" a="1"/>
  <c r="D70" i="21" a="1"/>
  <c r="D74" i="21" a="1"/>
  <c r="D78" i="21" a="1"/>
  <c r="D82" i="21" a="1"/>
  <c r="D86" i="21" a="1"/>
  <c r="D90" i="21" a="1"/>
  <c r="D48" i="21" a="1"/>
  <c r="D52" i="21" a="1"/>
  <c r="D56" i="21" a="1"/>
  <c r="D60" i="21" a="1"/>
  <c r="D64" i="21" a="1"/>
  <c r="D68" i="21" a="1"/>
  <c r="D72" i="21" a="1"/>
  <c r="D76" i="21" a="1"/>
  <c r="D80" i="21" a="1"/>
  <c r="D84" i="21" a="1"/>
  <c r="D88" i="21" a="1"/>
  <c r="B2" i="17" a="1"/>
  <c r="C90" i="19" a="1"/>
  <c r="C2" i="19" a="1"/>
  <c r="C3" i="17" a="1"/>
  <c r="C4" i="17" a="1"/>
  <c r="C6" i="17" a="1"/>
  <c r="C8" i="17" a="1"/>
  <c r="C10" i="17" a="1"/>
  <c r="C12" i="17" a="1"/>
  <c r="C14" i="17" a="1"/>
  <c r="C16" i="17" a="1"/>
  <c r="C18" i="17" a="1"/>
  <c r="C20" i="17" a="1"/>
  <c r="C22" i="17" a="1"/>
  <c r="C24" i="17" a="1"/>
  <c r="C26" i="17" a="1"/>
  <c r="C28" i="17" a="1"/>
  <c r="C30" i="17" a="1"/>
  <c r="C32" i="17" a="1"/>
  <c r="C34" i="17" a="1"/>
  <c r="C36" i="17" a="1"/>
  <c r="C38" i="17" a="1"/>
  <c r="C40" i="17" a="1"/>
  <c r="C42" i="17" a="1"/>
  <c r="C44" i="17" a="1"/>
  <c r="C46" i="17" a="1"/>
  <c r="C5" i="17" a="1"/>
  <c r="C7" i="17" a="1"/>
  <c r="C9" i="17" a="1"/>
  <c r="C11" i="17" a="1"/>
  <c r="C13" i="17" a="1"/>
  <c r="C15" i="17" a="1"/>
  <c r="C17" i="17" a="1"/>
  <c r="C19" i="17" a="1"/>
  <c r="C21" i="17" a="1"/>
  <c r="C23" i="17" a="1"/>
  <c r="C25" i="17" a="1"/>
  <c r="C27" i="17" a="1"/>
  <c r="C29" i="17" a="1"/>
  <c r="C31" i="17" a="1"/>
  <c r="C33" i="17" a="1"/>
  <c r="C35" i="17" a="1"/>
  <c r="C37" i="17" a="1"/>
  <c r="C39" i="17" a="1"/>
  <c r="C41" i="17" a="1"/>
  <c r="C43" i="17" a="1"/>
  <c r="C45" i="17" a="1"/>
  <c r="C2" i="17" a="1"/>
  <c r="B3" i="17" a="1"/>
  <c r="B5" i="17" a="1"/>
  <c r="B7" i="17" a="1"/>
  <c r="B9" i="17" a="1"/>
  <c r="B11" i="17" a="1"/>
  <c r="B13" i="17" a="1"/>
  <c r="B15" i="17" a="1"/>
  <c r="B17" i="17" a="1"/>
  <c r="B19" i="17" a="1"/>
  <c r="B21" i="17" a="1"/>
  <c r="B23" i="17" a="1"/>
  <c r="B25" i="17" a="1"/>
  <c r="B27" i="17" a="1"/>
  <c r="B29" i="17" a="1"/>
  <c r="B31" i="17" a="1"/>
  <c r="B33" i="17" a="1"/>
  <c r="B35" i="17" a="1"/>
  <c r="B37" i="17" a="1"/>
  <c r="B39" i="17" a="1"/>
  <c r="B41" i="17" a="1"/>
  <c r="B43" i="17" a="1"/>
  <c r="B45" i="17" a="1"/>
  <c r="B4" i="17" a="1"/>
  <c r="B6" i="17" a="1"/>
  <c r="B8" i="17" a="1"/>
  <c r="B10" i="17" a="1"/>
  <c r="B12" i="17" a="1"/>
  <c r="B14" i="17" a="1"/>
  <c r="B16" i="17" a="1"/>
  <c r="B18" i="17" a="1"/>
  <c r="B20" i="17" a="1"/>
  <c r="B22" i="17" a="1"/>
  <c r="B24" i="17" a="1"/>
  <c r="B26" i="17" a="1"/>
  <c r="B28" i="17" a="1"/>
  <c r="B30" i="17" a="1"/>
  <c r="B32" i="17" a="1"/>
  <c r="B34" i="17" a="1"/>
  <c r="B36" i="17" a="1"/>
  <c r="B38" i="17" a="1"/>
  <c r="B40" i="17" a="1"/>
  <c r="B42" i="17" a="1"/>
  <c r="B44" i="17" a="1"/>
  <c r="B46" i="17" a="1"/>
  <c r="C3" i="19" a="1"/>
  <c r="C5" i="19" a="1"/>
  <c r="C7" i="19" a="1"/>
  <c r="C9" i="19" a="1"/>
  <c r="C11" i="19" a="1"/>
  <c r="C13" i="19" a="1"/>
  <c r="C15" i="19" a="1"/>
  <c r="C17" i="19" a="1"/>
  <c r="C19" i="19" a="1"/>
  <c r="C21" i="19" a="1"/>
  <c r="C23" i="19" a="1"/>
  <c r="C25" i="19" a="1"/>
  <c r="C27" i="19" a="1"/>
  <c r="C29" i="19" a="1"/>
  <c r="C31" i="19" a="1"/>
  <c r="C33" i="19" a="1"/>
  <c r="C35" i="19" a="1"/>
  <c r="C37" i="19" a="1"/>
  <c r="C39" i="19" a="1"/>
  <c r="C41" i="19" a="1"/>
  <c r="C43" i="19" a="1"/>
  <c r="C45" i="19" a="1"/>
  <c r="C47" i="19" a="1"/>
  <c r="C49" i="19" a="1"/>
  <c r="C51" i="19" a="1"/>
  <c r="C53" i="19" a="1"/>
  <c r="C55" i="19" a="1"/>
  <c r="C57" i="19" a="1"/>
  <c r="C59" i="19" a="1"/>
  <c r="C61" i="19" a="1"/>
  <c r="C63" i="19" a="1"/>
  <c r="C65" i="19" a="1"/>
  <c r="C67" i="19" a="1"/>
  <c r="C69" i="19" a="1"/>
  <c r="C71" i="19" a="1"/>
  <c r="C73" i="19" a="1"/>
  <c r="C75" i="19" a="1"/>
  <c r="C77" i="19" a="1"/>
  <c r="C79" i="19" a="1"/>
  <c r="C81" i="19" a="1"/>
  <c r="C83" i="19" a="1"/>
  <c r="C85" i="19" a="1"/>
  <c r="C87" i="19" a="1"/>
  <c r="C89" i="19" a="1"/>
  <c r="C91" i="19" a="1"/>
  <c r="C93" i="19" a="1"/>
  <c r="C95" i="19" a="1"/>
  <c r="C66" i="19" a="1"/>
  <c r="C92" i="19" a="1"/>
  <c r="C4" i="19" a="1"/>
  <c r="C6" i="19" a="1"/>
  <c r="C8" i="19" a="1"/>
  <c r="C10" i="19" a="1"/>
  <c r="C12" i="19" a="1"/>
  <c r="C14" i="19" a="1"/>
  <c r="C16" i="19" a="1"/>
  <c r="C18" i="19" a="1"/>
  <c r="C20" i="19" a="1"/>
  <c r="C22" i="19" a="1"/>
  <c r="C24" i="19" a="1"/>
  <c r="C26" i="19" a="1"/>
  <c r="C28" i="19" a="1"/>
  <c r="C30" i="19" a="1"/>
  <c r="C32" i="19" a="1"/>
  <c r="C34" i="19" a="1"/>
  <c r="C36" i="19" a="1"/>
  <c r="C38" i="19" a="1"/>
  <c r="C40" i="19" a="1"/>
  <c r="C42" i="19" a="1"/>
  <c r="C44" i="19" a="1"/>
  <c r="C46" i="19" a="1"/>
  <c r="C48" i="19" a="1"/>
  <c r="C50" i="19" a="1"/>
  <c r="C52" i="19" a="1"/>
  <c r="C54" i="19" a="1"/>
  <c r="C56" i="19" a="1"/>
  <c r="C58" i="19" a="1"/>
  <c r="C60" i="19" a="1"/>
  <c r="C62" i="19" a="1"/>
  <c r="C64" i="19" a="1"/>
  <c r="C68" i="19" a="1"/>
  <c r="C70" i="19" a="1"/>
  <c r="C72" i="19" a="1"/>
  <c r="C74" i="19" a="1"/>
  <c r="C76" i="19" a="1"/>
  <c r="C78" i="19" a="1"/>
  <c r="C80" i="19" a="1"/>
  <c r="C82" i="19" a="1"/>
  <c r="C84" i="19" a="1"/>
  <c r="C86" i="19" a="1"/>
  <c r="C88" i="19" a="1"/>
  <c r="C94" i="19" a="1"/>
  <c r="C96" i="19" a="1"/>
  <c r="B2" i="19" a="1"/>
  <c r="B3" i="19" a="1"/>
  <c r="B5" i="19" a="1"/>
  <c r="B7" i="19" a="1"/>
  <c r="B9" i="19" a="1"/>
  <c r="B11" i="19" a="1"/>
  <c r="B13" i="19" a="1"/>
  <c r="B15" i="19" a="1"/>
  <c r="B17" i="19" a="1"/>
  <c r="B19" i="19" a="1"/>
  <c r="B21" i="19" a="1"/>
  <c r="B23" i="19" a="1"/>
  <c r="B25" i="19" a="1"/>
  <c r="B27" i="19" a="1"/>
  <c r="B29" i="19" a="1"/>
  <c r="B31" i="19" a="1"/>
  <c r="B33" i="19" a="1"/>
  <c r="B35" i="19" a="1"/>
  <c r="B37" i="19" a="1"/>
  <c r="B39" i="19" a="1"/>
  <c r="B41" i="19" a="1"/>
  <c r="B43" i="19" a="1"/>
  <c r="B45" i="19" a="1"/>
  <c r="B47" i="19" a="1"/>
  <c r="B49" i="19" a="1"/>
  <c r="B51" i="19" a="1"/>
  <c r="B53" i="19" a="1"/>
  <c r="B55" i="19" a="1"/>
  <c r="B57" i="19" a="1"/>
  <c r="B59" i="19" a="1"/>
  <c r="B61" i="19" a="1"/>
  <c r="B63" i="19" a="1"/>
  <c r="B65" i="19" a="1"/>
  <c r="B67" i="19" a="1"/>
  <c r="B69" i="19" a="1"/>
  <c r="B71" i="19" a="1"/>
  <c r="B73" i="19" a="1"/>
  <c r="B75" i="19" a="1"/>
  <c r="B77" i="19" a="1"/>
  <c r="B79" i="19" a="1"/>
  <c r="B81" i="19" a="1"/>
  <c r="B83" i="19" a="1"/>
  <c r="B85" i="19" a="1"/>
  <c r="B87" i="19" a="1"/>
  <c r="B89" i="19" a="1"/>
  <c r="B91" i="19" a="1"/>
  <c r="B93" i="19" a="1"/>
  <c r="B95" i="19" a="1"/>
  <c r="B48" i="19" a="1"/>
  <c r="B60" i="19" a="1"/>
  <c r="B64" i="19" a="1"/>
  <c r="B68" i="19" a="1"/>
  <c r="B72" i="19" a="1"/>
  <c r="B76" i="19" a="1"/>
  <c r="B80" i="19" a="1"/>
  <c r="B84" i="19" a="1"/>
  <c r="B88" i="19" a="1"/>
  <c r="B92" i="19" a="1"/>
  <c r="B96" i="19" a="1"/>
  <c r="B4" i="19" a="1"/>
  <c r="B6" i="19" a="1"/>
  <c r="B8" i="19" a="1"/>
  <c r="B10" i="19" a="1"/>
  <c r="B12" i="19" a="1"/>
  <c r="B14" i="19" a="1"/>
  <c r="B16" i="19" a="1"/>
  <c r="B18" i="19" a="1"/>
  <c r="B20" i="19" a="1"/>
  <c r="B22" i="19" a="1"/>
  <c r="B24" i="19" a="1"/>
  <c r="B26" i="19" a="1"/>
  <c r="B28" i="19" a="1"/>
  <c r="B30" i="19" a="1"/>
  <c r="B32" i="19" a="1"/>
  <c r="B34" i="19" a="1"/>
  <c r="B36" i="19" a="1"/>
  <c r="B38" i="19" a="1"/>
  <c r="B40" i="19" a="1"/>
  <c r="B42" i="19" a="1"/>
  <c r="B44" i="19" a="1"/>
  <c r="B46" i="19" a="1"/>
  <c r="B50" i="19" a="1"/>
  <c r="B52" i="19" a="1"/>
  <c r="B54" i="19" a="1"/>
  <c r="B56" i="19" a="1"/>
  <c r="B58" i="19" a="1"/>
  <c r="B62" i="19" a="1"/>
  <c r="B66" i="19" a="1"/>
  <c r="B70" i="19" a="1"/>
  <c r="B74" i="19" a="1"/>
  <c r="B78" i="19" a="1"/>
  <c r="B82" i="19" a="1"/>
  <c r="B86" i="19" a="1"/>
  <c r="B90" i="19" a="1"/>
  <c r="B94" i="19" a="1"/>
  <c r="L2" i="12" l="1"/>
  <c r="C96" i="21"/>
  <c r="C92" i="21"/>
  <c r="C88" i="21"/>
  <c r="C84" i="21"/>
  <c r="C80" i="21"/>
  <c r="C76" i="21"/>
  <c r="C72" i="21"/>
  <c r="C68" i="21"/>
  <c r="C64" i="21"/>
  <c r="C62" i="21"/>
  <c r="C60" i="21"/>
  <c r="C58" i="21"/>
  <c r="C56" i="21"/>
  <c r="C54" i="21"/>
  <c r="C50" i="21"/>
  <c r="C48" i="21"/>
  <c r="C46" i="21"/>
  <c r="C44" i="21"/>
  <c r="C42" i="21"/>
  <c r="C40" i="21"/>
  <c r="C38" i="21"/>
  <c r="C36" i="21"/>
  <c r="C34" i="21"/>
  <c r="C32" i="21"/>
  <c r="C30" i="21"/>
  <c r="C28" i="21"/>
  <c r="C26" i="21"/>
  <c r="C24" i="21"/>
  <c r="C22" i="21"/>
  <c r="C20" i="21"/>
  <c r="C18" i="21"/>
  <c r="C16" i="21"/>
  <c r="C14" i="21"/>
  <c r="C12" i="21"/>
  <c r="C10" i="21"/>
  <c r="C8" i="21"/>
  <c r="C6" i="21"/>
  <c r="C98" i="21"/>
  <c r="C94" i="21"/>
  <c r="C90" i="21"/>
  <c r="C86" i="21"/>
  <c r="C82" i="21"/>
  <c r="C78" i="21"/>
  <c r="C74" i="21"/>
  <c r="C70" i="21"/>
  <c r="C66" i="21"/>
  <c r="C52" i="21"/>
  <c r="C99" i="21"/>
  <c r="C97" i="21"/>
  <c r="C95" i="21"/>
  <c r="C93" i="21"/>
  <c r="C91" i="21"/>
  <c r="C89" i="21"/>
  <c r="C87" i="21"/>
  <c r="C85" i="21"/>
  <c r="C83" i="21"/>
  <c r="C81" i="21"/>
  <c r="C79" i="21"/>
  <c r="C77" i="21"/>
  <c r="C75" i="21"/>
  <c r="C73" i="21"/>
  <c r="C71" i="21"/>
  <c r="C69" i="21"/>
  <c r="C67" i="21"/>
  <c r="C65" i="21"/>
  <c r="C63" i="21"/>
  <c r="C61" i="21"/>
  <c r="C59" i="21"/>
  <c r="C57" i="21"/>
  <c r="C55" i="21"/>
  <c r="C53" i="21"/>
  <c r="C51" i="21"/>
  <c r="C49" i="21"/>
  <c r="C47" i="21"/>
  <c r="C45" i="21"/>
  <c r="C43" i="21"/>
  <c r="C41" i="21"/>
  <c r="C39" i="21"/>
  <c r="C37" i="21"/>
  <c r="C35" i="21"/>
  <c r="C33" i="21"/>
  <c r="C31" i="21"/>
  <c r="C29" i="21"/>
  <c r="C27" i="21"/>
  <c r="C25" i="21"/>
  <c r="C23" i="21"/>
  <c r="C21" i="21"/>
  <c r="C19" i="21"/>
  <c r="C17" i="21"/>
  <c r="C15" i="21"/>
  <c r="C13" i="21"/>
  <c r="C11" i="21"/>
  <c r="C9" i="21"/>
  <c r="C7" i="21"/>
  <c r="C5" i="21"/>
  <c r="C4" i="21"/>
  <c r="B4" i="21"/>
  <c r="B96" i="21"/>
  <c r="F96" i="21" s="1"/>
  <c r="B92" i="21"/>
  <c r="F92" i="21" s="1"/>
  <c r="B88" i="21"/>
  <c r="F88" i="21" s="1"/>
  <c r="B84" i="21"/>
  <c r="F84" i="21" s="1"/>
  <c r="B80" i="21"/>
  <c r="F80" i="21" s="1"/>
  <c r="B76" i="21"/>
  <c r="F76" i="21" s="1"/>
  <c r="B72" i="21"/>
  <c r="F72" i="21" s="1"/>
  <c r="B70" i="21"/>
  <c r="F70" i="21" s="1"/>
  <c r="B66" i="21"/>
  <c r="F66" i="21" s="1"/>
  <c r="B62" i="21"/>
  <c r="F62" i="21" s="1"/>
  <c r="B56" i="21"/>
  <c r="F56" i="21" s="1"/>
  <c r="B52" i="21"/>
  <c r="F52" i="21" s="1"/>
  <c r="B48" i="21"/>
  <c r="F48" i="21" s="1"/>
  <c r="B44" i="21"/>
  <c r="F44" i="21" s="1"/>
  <c r="B42" i="21"/>
  <c r="F42" i="21" s="1"/>
  <c r="B40" i="21"/>
  <c r="F40" i="21" s="1"/>
  <c r="B38" i="21"/>
  <c r="F38" i="21" s="1"/>
  <c r="B36" i="21"/>
  <c r="F36" i="21" s="1"/>
  <c r="B32" i="21"/>
  <c r="F32" i="21" s="1"/>
  <c r="B30" i="21"/>
  <c r="F30" i="21" s="1"/>
  <c r="B28" i="21"/>
  <c r="F28" i="21" s="1"/>
  <c r="B26" i="21"/>
  <c r="F26" i="21" s="1"/>
  <c r="B24" i="21"/>
  <c r="F24" i="21" s="1"/>
  <c r="B22" i="21"/>
  <c r="F22" i="21" s="1"/>
  <c r="B20" i="21"/>
  <c r="F20" i="21" s="1"/>
  <c r="B18" i="21"/>
  <c r="F18" i="21" s="1"/>
  <c r="B16" i="21"/>
  <c r="F16" i="21" s="1"/>
  <c r="B14" i="21"/>
  <c r="F14" i="21" s="1"/>
  <c r="B12" i="21"/>
  <c r="F12" i="21" s="1"/>
  <c r="B10" i="21"/>
  <c r="F10" i="21" s="1"/>
  <c r="B8" i="21"/>
  <c r="F8" i="21" s="1"/>
  <c r="B6" i="21"/>
  <c r="F6" i="21" s="1"/>
  <c r="B98" i="21"/>
  <c r="F98" i="21" s="1"/>
  <c r="B94" i="21"/>
  <c r="F94" i="21" s="1"/>
  <c r="B90" i="21"/>
  <c r="F90" i="21" s="1"/>
  <c r="B86" i="21"/>
  <c r="F86" i="21" s="1"/>
  <c r="B82" i="21"/>
  <c r="F82" i="21" s="1"/>
  <c r="B78" i="21"/>
  <c r="F78" i="21" s="1"/>
  <c r="B74" i="21"/>
  <c r="F74" i="21" s="1"/>
  <c r="B68" i="21"/>
  <c r="F68" i="21" s="1"/>
  <c r="B64" i="21"/>
  <c r="F64" i="21" s="1"/>
  <c r="B60" i="21"/>
  <c r="F60" i="21" s="1"/>
  <c r="B58" i="21"/>
  <c r="F58" i="21" s="1"/>
  <c r="B54" i="21"/>
  <c r="F54" i="21" s="1"/>
  <c r="B50" i="21"/>
  <c r="F50" i="21" s="1"/>
  <c r="B46" i="21"/>
  <c r="F46" i="21" s="1"/>
  <c r="B34" i="21"/>
  <c r="F34" i="21" s="1"/>
  <c r="B99" i="21"/>
  <c r="F99" i="21" s="1"/>
  <c r="B97" i="21"/>
  <c r="F97" i="21" s="1"/>
  <c r="B95" i="21"/>
  <c r="F95" i="21" s="1"/>
  <c r="B93" i="21"/>
  <c r="F93" i="21" s="1"/>
  <c r="B91" i="21"/>
  <c r="F91" i="21" s="1"/>
  <c r="B89" i="21"/>
  <c r="F89" i="21" s="1"/>
  <c r="B87" i="21"/>
  <c r="F87" i="21" s="1"/>
  <c r="B85" i="21"/>
  <c r="F85" i="21" s="1"/>
  <c r="B83" i="21"/>
  <c r="F83" i="21" s="1"/>
  <c r="B81" i="21"/>
  <c r="F81" i="21" s="1"/>
  <c r="B79" i="21"/>
  <c r="F79" i="21" s="1"/>
  <c r="B77" i="21"/>
  <c r="F77" i="21" s="1"/>
  <c r="B75" i="21"/>
  <c r="F75" i="21" s="1"/>
  <c r="B73" i="21"/>
  <c r="F73" i="21" s="1"/>
  <c r="B71" i="21"/>
  <c r="F71" i="21" s="1"/>
  <c r="B69" i="21"/>
  <c r="F69" i="21" s="1"/>
  <c r="B67" i="21"/>
  <c r="F67" i="21" s="1"/>
  <c r="B65" i="21"/>
  <c r="F65" i="21" s="1"/>
  <c r="B63" i="21"/>
  <c r="F63" i="21" s="1"/>
  <c r="B61" i="21"/>
  <c r="F61" i="21" s="1"/>
  <c r="B59" i="21"/>
  <c r="F59" i="21" s="1"/>
  <c r="B57" i="21"/>
  <c r="F57" i="21" s="1"/>
  <c r="B55" i="21"/>
  <c r="F55" i="21" s="1"/>
  <c r="B53" i="21"/>
  <c r="F53" i="21" s="1"/>
  <c r="B51" i="21"/>
  <c r="F51" i="21" s="1"/>
  <c r="B49" i="21"/>
  <c r="F49" i="21" s="1"/>
  <c r="B47" i="21"/>
  <c r="F47" i="21" s="1"/>
  <c r="B45" i="21"/>
  <c r="F45" i="21" s="1"/>
  <c r="B43" i="21"/>
  <c r="F43" i="21" s="1"/>
  <c r="B41" i="21"/>
  <c r="F41" i="21" s="1"/>
  <c r="B39" i="21"/>
  <c r="F39" i="21" s="1"/>
  <c r="B37" i="21"/>
  <c r="F37" i="21" s="1"/>
  <c r="B35" i="21"/>
  <c r="F35" i="21" s="1"/>
  <c r="B33" i="21"/>
  <c r="F33" i="21" s="1"/>
  <c r="B31" i="21"/>
  <c r="F31" i="21" s="1"/>
  <c r="B29" i="21"/>
  <c r="F29" i="21" s="1"/>
  <c r="B27" i="21"/>
  <c r="F27" i="21" s="1"/>
  <c r="B25" i="21"/>
  <c r="F25" i="21" s="1"/>
  <c r="B23" i="21"/>
  <c r="F23" i="21" s="1"/>
  <c r="B21" i="21"/>
  <c r="F21" i="21" s="1"/>
  <c r="B19" i="21"/>
  <c r="F19" i="21" s="1"/>
  <c r="B17" i="21"/>
  <c r="F17" i="21" s="1"/>
  <c r="B15" i="21"/>
  <c r="F15" i="21" s="1"/>
  <c r="B13" i="21"/>
  <c r="F13" i="21" s="1"/>
  <c r="B11" i="21"/>
  <c r="F11" i="21" s="1"/>
  <c r="B9" i="21"/>
  <c r="F9" i="21" s="1"/>
  <c r="B7" i="21"/>
  <c r="F7" i="21" s="1"/>
  <c r="B5" i="21"/>
  <c r="F5" i="21" s="1"/>
  <c r="D4" i="21"/>
  <c r="E96" i="21"/>
  <c r="E92" i="21"/>
  <c r="E88" i="21"/>
  <c r="E84" i="21"/>
  <c r="E80" i="21"/>
  <c r="E76" i="21"/>
  <c r="E72" i="21"/>
  <c r="E68" i="21"/>
  <c r="E64" i="21"/>
  <c r="E62" i="21"/>
  <c r="E60" i="21"/>
  <c r="E58" i="21"/>
  <c r="E56" i="21"/>
  <c r="E54" i="21"/>
  <c r="E50" i="21"/>
  <c r="E48" i="21"/>
  <c r="E46" i="21"/>
  <c r="E44" i="21"/>
  <c r="E42" i="21"/>
  <c r="E40" i="21"/>
  <c r="E38" i="21"/>
  <c r="E36" i="21"/>
  <c r="E34" i="21"/>
  <c r="E32" i="21"/>
  <c r="E30" i="21"/>
  <c r="E28" i="21"/>
  <c r="E26" i="21"/>
  <c r="E24" i="21"/>
  <c r="E22" i="21"/>
  <c r="E20" i="21"/>
  <c r="E18" i="21"/>
  <c r="E16" i="21"/>
  <c r="E14" i="21"/>
  <c r="E12" i="21"/>
  <c r="E10" i="21"/>
  <c r="E8" i="21"/>
  <c r="E6" i="21"/>
  <c r="E98" i="21"/>
  <c r="E94" i="21"/>
  <c r="E90" i="21"/>
  <c r="E86" i="21"/>
  <c r="E82" i="21"/>
  <c r="E78" i="21"/>
  <c r="E74" i="21"/>
  <c r="E70" i="21"/>
  <c r="E66" i="21"/>
  <c r="E52" i="21"/>
  <c r="E99" i="21"/>
  <c r="E97" i="21"/>
  <c r="E95" i="21"/>
  <c r="E93" i="21"/>
  <c r="E91" i="21"/>
  <c r="E89" i="21"/>
  <c r="E87" i="21"/>
  <c r="E85" i="21"/>
  <c r="E83" i="21"/>
  <c r="E81" i="21"/>
  <c r="E79" i="21"/>
  <c r="E77" i="21"/>
  <c r="E75" i="21"/>
  <c r="E73" i="21"/>
  <c r="E71" i="21"/>
  <c r="E69" i="21"/>
  <c r="E67" i="21"/>
  <c r="E65" i="21"/>
  <c r="E63" i="21"/>
  <c r="E61" i="21"/>
  <c r="E59" i="21"/>
  <c r="E57" i="21"/>
  <c r="E55" i="21"/>
  <c r="E53" i="21"/>
  <c r="E51" i="21"/>
  <c r="E49" i="21"/>
  <c r="E47" i="21"/>
  <c r="E45" i="21"/>
  <c r="E43" i="21"/>
  <c r="E41" i="21"/>
  <c r="E39" i="21"/>
  <c r="E37" i="21"/>
  <c r="E35" i="21"/>
  <c r="E33" i="21"/>
  <c r="E31" i="21"/>
  <c r="E29" i="21"/>
  <c r="E27" i="21"/>
  <c r="E25" i="21"/>
  <c r="E23" i="21"/>
  <c r="E21" i="21"/>
  <c r="E19" i="21"/>
  <c r="E17" i="21"/>
  <c r="E15" i="21"/>
  <c r="E13" i="21"/>
  <c r="E11" i="21"/>
  <c r="E9" i="21"/>
  <c r="E7" i="21"/>
  <c r="E5" i="21"/>
  <c r="E4" i="21"/>
  <c r="B97" i="19"/>
  <c r="D97" i="19" s="1"/>
  <c r="C97" i="19"/>
  <c r="D99" i="21"/>
  <c r="D98" i="21"/>
  <c r="D96" i="21"/>
  <c r="D94" i="21"/>
  <c r="D92" i="21"/>
  <c r="D97" i="21"/>
  <c r="D95" i="21"/>
  <c r="D93" i="21"/>
  <c r="D91" i="21"/>
  <c r="D88" i="21"/>
  <c r="D84" i="21"/>
  <c r="D80" i="21"/>
  <c r="D76" i="21"/>
  <c r="D72" i="21"/>
  <c r="D68" i="21"/>
  <c r="D64" i="21"/>
  <c r="D60" i="21"/>
  <c r="D56" i="21"/>
  <c r="D52" i="21"/>
  <c r="D48" i="21"/>
  <c r="D90" i="21"/>
  <c r="D86" i="21"/>
  <c r="D82" i="21"/>
  <c r="D78" i="21"/>
  <c r="D74" i="21"/>
  <c r="D70" i="21"/>
  <c r="D66" i="21"/>
  <c r="D62" i="21"/>
  <c r="D58" i="21"/>
  <c r="D54" i="21"/>
  <c r="D50" i="21"/>
  <c r="D46" i="21"/>
  <c r="D44" i="21"/>
  <c r="D42" i="21"/>
  <c r="D40" i="21"/>
  <c r="D38" i="21"/>
  <c r="D36" i="21"/>
  <c r="D34" i="21"/>
  <c r="D32" i="21"/>
  <c r="D30" i="21"/>
  <c r="D28" i="21"/>
  <c r="D26" i="21"/>
  <c r="D24" i="21"/>
  <c r="D22" i="21"/>
  <c r="D20" i="21"/>
  <c r="D18" i="21"/>
  <c r="D16" i="21"/>
  <c r="D14" i="21"/>
  <c r="D12" i="21"/>
  <c r="D10" i="21"/>
  <c r="D8" i="21"/>
  <c r="D6" i="21"/>
  <c r="D89" i="21"/>
  <c r="D87" i="21"/>
  <c r="D85" i="21"/>
  <c r="D83" i="21"/>
  <c r="D81" i="21"/>
  <c r="D79" i="21"/>
  <c r="D77" i="21"/>
  <c r="D75" i="21"/>
  <c r="D73" i="21"/>
  <c r="D71" i="21"/>
  <c r="D69" i="21"/>
  <c r="D67" i="21"/>
  <c r="D65" i="21"/>
  <c r="D63" i="21"/>
  <c r="D61" i="21"/>
  <c r="D59" i="21"/>
  <c r="D57" i="21"/>
  <c r="D55" i="21"/>
  <c r="D53" i="21"/>
  <c r="D51" i="21"/>
  <c r="D49" i="21"/>
  <c r="D47" i="21"/>
  <c r="D45" i="21"/>
  <c r="D43" i="21"/>
  <c r="D41" i="21"/>
  <c r="D39" i="21"/>
  <c r="D37" i="21"/>
  <c r="D35" i="21"/>
  <c r="D33" i="21"/>
  <c r="D31" i="21"/>
  <c r="D29" i="21"/>
  <c r="D27" i="21"/>
  <c r="D25" i="21"/>
  <c r="D23" i="21"/>
  <c r="D21" i="21"/>
  <c r="D19" i="21"/>
  <c r="D17" i="21"/>
  <c r="D15" i="21"/>
  <c r="D13" i="21"/>
  <c r="D11" i="21"/>
  <c r="D9" i="21"/>
  <c r="D7" i="21"/>
  <c r="D5" i="21"/>
  <c r="B2" i="17"/>
  <c r="C90" i="19"/>
  <c r="C2" i="19"/>
  <c r="C45" i="17"/>
  <c r="C43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3" i="17"/>
  <c r="C11" i="17"/>
  <c r="C9" i="17"/>
  <c r="C7" i="17"/>
  <c r="C5" i="17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2" i="17"/>
  <c r="C10" i="17"/>
  <c r="C8" i="17"/>
  <c r="C6" i="17"/>
  <c r="C4" i="17"/>
  <c r="C3" i="17"/>
  <c r="C2" i="17"/>
  <c r="B46" i="17"/>
  <c r="B44" i="17"/>
  <c r="B42" i="17"/>
  <c r="B40" i="17"/>
  <c r="B38" i="17"/>
  <c r="B36" i="17"/>
  <c r="B34" i="17"/>
  <c r="B32" i="17"/>
  <c r="B30" i="17"/>
  <c r="B28" i="17"/>
  <c r="B26" i="17"/>
  <c r="B24" i="17"/>
  <c r="B22" i="17"/>
  <c r="B20" i="17"/>
  <c r="B18" i="17"/>
  <c r="B16" i="17"/>
  <c r="B14" i="17"/>
  <c r="B12" i="17"/>
  <c r="B10" i="17"/>
  <c r="B8" i="17"/>
  <c r="B6" i="17"/>
  <c r="B4" i="17"/>
  <c r="B45" i="17"/>
  <c r="B43" i="17"/>
  <c r="B41" i="17"/>
  <c r="B39" i="17"/>
  <c r="B37" i="17"/>
  <c r="B35" i="17"/>
  <c r="B33" i="17"/>
  <c r="B31" i="17"/>
  <c r="B29" i="17"/>
  <c r="B27" i="17"/>
  <c r="B25" i="17"/>
  <c r="B23" i="17"/>
  <c r="B21" i="17"/>
  <c r="B19" i="17"/>
  <c r="B17" i="17"/>
  <c r="B15" i="17"/>
  <c r="B13" i="17"/>
  <c r="B11" i="17"/>
  <c r="B9" i="17"/>
  <c r="B7" i="17"/>
  <c r="B5" i="17"/>
  <c r="B3" i="17"/>
  <c r="D3" i="17" s="1"/>
  <c r="C96" i="19"/>
  <c r="C94" i="19"/>
  <c r="C88" i="19"/>
  <c r="C86" i="19"/>
  <c r="C84" i="19"/>
  <c r="C82" i="19"/>
  <c r="C80" i="19"/>
  <c r="C78" i="19"/>
  <c r="C76" i="19"/>
  <c r="C74" i="19"/>
  <c r="C72" i="19"/>
  <c r="C70" i="19"/>
  <c r="C68" i="19"/>
  <c r="C64" i="19"/>
  <c r="C62" i="19"/>
  <c r="C60" i="19"/>
  <c r="C58" i="19"/>
  <c r="C56" i="19"/>
  <c r="C54" i="19"/>
  <c r="C52" i="19"/>
  <c r="C50" i="19"/>
  <c r="C48" i="19"/>
  <c r="C46" i="19"/>
  <c r="C44" i="19"/>
  <c r="C42" i="19"/>
  <c r="C40" i="19"/>
  <c r="C38" i="19"/>
  <c r="C36" i="19"/>
  <c r="C34" i="19"/>
  <c r="C32" i="19"/>
  <c r="C30" i="19"/>
  <c r="C28" i="19"/>
  <c r="C26" i="19"/>
  <c r="C24" i="19"/>
  <c r="C22" i="19"/>
  <c r="C20" i="19"/>
  <c r="C18" i="19"/>
  <c r="C16" i="19"/>
  <c r="C14" i="19"/>
  <c r="C12" i="19"/>
  <c r="C10" i="19"/>
  <c r="C8" i="19"/>
  <c r="C6" i="19"/>
  <c r="C4" i="19"/>
  <c r="C92" i="19"/>
  <c r="C66" i="19"/>
  <c r="C95" i="19"/>
  <c r="C93" i="19"/>
  <c r="C91" i="19"/>
  <c r="C89" i="19"/>
  <c r="C87" i="19"/>
  <c r="C85" i="19"/>
  <c r="C83" i="19"/>
  <c r="C81" i="19"/>
  <c r="C79" i="19"/>
  <c r="C77" i="19"/>
  <c r="C75" i="19"/>
  <c r="C73" i="19"/>
  <c r="C71" i="19"/>
  <c r="C69" i="19"/>
  <c r="C67" i="19"/>
  <c r="C65" i="19"/>
  <c r="C63" i="19"/>
  <c r="C61" i="19"/>
  <c r="C59" i="19"/>
  <c r="C57" i="19"/>
  <c r="C55" i="19"/>
  <c r="C53" i="19"/>
  <c r="C51" i="19"/>
  <c r="C49" i="19"/>
  <c r="C47" i="19"/>
  <c r="C45" i="19"/>
  <c r="C43" i="19"/>
  <c r="C41" i="19"/>
  <c r="C39" i="19"/>
  <c r="C37" i="19"/>
  <c r="C35" i="19"/>
  <c r="C33" i="19"/>
  <c r="C31" i="19"/>
  <c r="C29" i="19"/>
  <c r="C27" i="19"/>
  <c r="C25" i="19"/>
  <c r="C23" i="19"/>
  <c r="C21" i="19"/>
  <c r="C19" i="19"/>
  <c r="C17" i="19"/>
  <c r="C15" i="19"/>
  <c r="C13" i="19"/>
  <c r="C11" i="19"/>
  <c r="C9" i="19"/>
  <c r="C7" i="19"/>
  <c r="C5" i="19"/>
  <c r="C3" i="19"/>
  <c r="B2" i="19"/>
  <c r="B94" i="19"/>
  <c r="B90" i="19"/>
  <c r="B86" i="19"/>
  <c r="B82" i="19"/>
  <c r="D82" i="19" s="1"/>
  <c r="B78" i="19"/>
  <c r="B74" i="19"/>
  <c r="D74" i="19" s="1"/>
  <c r="B70" i="19"/>
  <c r="B66" i="19"/>
  <c r="D66" i="19" s="1"/>
  <c r="B62" i="19"/>
  <c r="D62" i="19" s="1"/>
  <c r="B58" i="19"/>
  <c r="D58" i="19" s="1"/>
  <c r="B56" i="19"/>
  <c r="B54" i="19"/>
  <c r="B52" i="19"/>
  <c r="B50" i="19"/>
  <c r="D50" i="19" s="1"/>
  <c r="B46" i="19"/>
  <c r="B44" i="19"/>
  <c r="B42" i="19"/>
  <c r="D42" i="19" s="1"/>
  <c r="B40" i="19"/>
  <c r="D40" i="19" s="1"/>
  <c r="B38" i="19"/>
  <c r="B36" i="19"/>
  <c r="B34" i="19"/>
  <c r="D34" i="19" s="1"/>
  <c r="B32" i="19"/>
  <c r="D32" i="19" s="1"/>
  <c r="B30" i="19"/>
  <c r="B28" i="19"/>
  <c r="B26" i="19"/>
  <c r="D26" i="19" s="1"/>
  <c r="B24" i="19"/>
  <c r="D24" i="19" s="1"/>
  <c r="B22" i="19"/>
  <c r="B20" i="19"/>
  <c r="B18" i="19"/>
  <c r="D18" i="19" s="1"/>
  <c r="B16" i="19"/>
  <c r="D16" i="19" s="1"/>
  <c r="B14" i="19"/>
  <c r="B12" i="19"/>
  <c r="B10" i="19"/>
  <c r="D10" i="19" s="1"/>
  <c r="B8" i="19"/>
  <c r="D8" i="19" s="1"/>
  <c r="B6" i="19"/>
  <c r="B4" i="19"/>
  <c r="B96" i="19"/>
  <c r="D96" i="19" s="1"/>
  <c r="B92" i="19"/>
  <c r="D92" i="19" s="1"/>
  <c r="B88" i="19"/>
  <c r="B84" i="19"/>
  <c r="D84" i="19" s="1"/>
  <c r="B80" i="19"/>
  <c r="D80" i="19" s="1"/>
  <c r="B76" i="19"/>
  <c r="D76" i="19" s="1"/>
  <c r="B72" i="19"/>
  <c r="B68" i="19"/>
  <c r="D68" i="19" s="1"/>
  <c r="B64" i="19"/>
  <c r="B60" i="19"/>
  <c r="D60" i="19" s="1"/>
  <c r="B48" i="19"/>
  <c r="B95" i="19"/>
  <c r="B93" i="19"/>
  <c r="B91" i="19"/>
  <c r="D91" i="19" s="1"/>
  <c r="B89" i="19"/>
  <c r="B87" i="19"/>
  <c r="B85" i="19"/>
  <c r="B83" i="19"/>
  <c r="D83" i="19" s="1"/>
  <c r="B81" i="19"/>
  <c r="B79" i="19"/>
  <c r="B77" i="19"/>
  <c r="B75" i="19"/>
  <c r="D75" i="19" s="1"/>
  <c r="B73" i="19"/>
  <c r="B71" i="19"/>
  <c r="B69" i="19"/>
  <c r="B67" i="19"/>
  <c r="D67" i="19" s="1"/>
  <c r="B65" i="19"/>
  <c r="B63" i="19"/>
  <c r="B61" i="19"/>
  <c r="B59" i="19"/>
  <c r="D59" i="19" s="1"/>
  <c r="B57" i="19"/>
  <c r="B55" i="19"/>
  <c r="B53" i="19"/>
  <c r="B51" i="19"/>
  <c r="D51" i="19" s="1"/>
  <c r="B49" i="19"/>
  <c r="B47" i="19"/>
  <c r="B45" i="19"/>
  <c r="B43" i="19"/>
  <c r="D43" i="19" s="1"/>
  <c r="B41" i="19"/>
  <c r="B39" i="19"/>
  <c r="B37" i="19"/>
  <c r="B35" i="19"/>
  <c r="D35" i="19" s="1"/>
  <c r="B33" i="19"/>
  <c r="B31" i="19"/>
  <c r="B29" i="19"/>
  <c r="B27" i="19"/>
  <c r="D27" i="19" s="1"/>
  <c r="B25" i="19"/>
  <c r="B23" i="19"/>
  <c r="B21" i="19"/>
  <c r="B19" i="19"/>
  <c r="D19" i="19" s="1"/>
  <c r="B17" i="19"/>
  <c r="B15" i="19"/>
  <c r="B13" i="19"/>
  <c r="B11" i="19"/>
  <c r="D11" i="19" s="1"/>
  <c r="B9" i="19"/>
  <c r="B7" i="19"/>
  <c r="B5" i="19"/>
  <c r="B3" i="19"/>
  <c r="D3" i="19" s="1"/>
  <c r="F4" i="21" l="1"/>
  <c r="H4" i="21"/>
  <c r="D7" i="19"/>
  <c r="D15" i="19"/>
  <c r="D23" i="19"/>
  <c r="D31" i="19"/>
  <c r="D39" i="19"/>
  <c r="D47" i="19"/>
  <c r="D55" i="19"/>
  <c r="D63" i="19"/>
  <c r="D71" i="19"/>
  <c r="D79" i="19"/>
  <c r="D87" i="19"/>
  <c r="D95" i="19"/>
  <c r="D4" i="19"/>
  <c r="D12" i="19"/>
  <c r="D20" i="19"/>
  <c r="D28" i="19"/>
  <c r="D36" i="19"/>
  <c r="D44" i="19"/>
  <c r="D54" i="19"/>
  <c r="D72" i="19"/>
  <c r="D88" i="19"/>
  <c r="D6" i="19"/>
  <c r="D14" i="19"/>
  <c r="D22" i="19"/>
  <c r="D30" i="19"/>
  <c r="D38" i="19"/>
  <c r="D46" i="19"/>
  <c r="D9" i="19"/>
  <c r="D17" i="19"/>
  <c r="D25" i="19"/>
  <c r="D33" i="19"/>
  <c r="D41" i="19"/>
  <c r="D49" i="19"/>
  <c r="D57" i="19"/>
  <c r="D65" i="19"/>
  <c r="D73" i="19"/>
  <c r="D81" i="19"/>
  <c r="D89" i="19"/>
  <c r="D48" i="19"/>
  <c r="D56" i="19"/>
  <c r="D70" i="19"/>
  <c r="D86" i="19"/>
  <c r="D5" i="19"/>
  <c r="D13" i="19"/>
  <c r="D21" i="19"/>
  <c r="D29" i="19"/>
  <c r="D37" i="19"/>
  <c r="D45" i="19"/>
  <c r="D53" i="19"/>
  <c r="D61" i="19"/>
  <c r="D69" i="19"/>
  <c r="D77" i="19"/>
  <c r="D85" i="19"/>
  <c r="D93" i="19"/>
  <c r="D64" i="19"/>
  <c r="D52" i="19"/>
  <c r="D78" i="19"/>
  <c r="D94" i="19"/>
  <c r="D2" i="19"/>
  <c r="D2" i="17"/>
  <c r="D90" i="19"/>
  <c r="A4" i="19" l="1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3" i="19"/>
  <c r="A96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37" i="18"/>
  <c r="A21" i="18"/>
  <c r="A22" i="18"/>
  <c r="A23" i="18"/>
  <c r="A24" i="18"/>
  <c r="A25" i="18"/>
  <c r="A26" i="18"/>
  <c r="A27" i="18"/>
  <c r="A28" i="18"/>
  <c r="A29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3" i="18"/>
  <c r="A3" i="17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C3" i="18" a="1"/>
  <c r="C7" i="18" a="1"/>
  <c r="C11" i="18" a="1"/>
  <c r="C15" i="18" a="1"/>
  <c r="C19" i="18" a="1"/>
  <c r="C24" i="18" a="1"/>
  <c r="C28" i="18" a="1"/>
  <c r="C32" i="18" a="1"/>
  <c r="C36" i="18" a="1"/>
  <c r="C40" i="18" a="1"/>
  <c r="C44" i="18" a="1"/>
  <c r="C48" i="18" a="1"/>
  <c r="C52" i="18" a="1"/>
  <c r="C56" i="18" a="1"/>
  <c r="C60" i="18" a="1"/>
  <c r="C64" i="18" a="1"/>
  <c r="C68" i="18" a="1"/>
  <c r="C72" i="18" a="1"/>
  <c r="C76" i="18" a="1"/>
  <c r="C80" i="18" a="1"/>
  <c r="C84" i="18" a="1"/>
  <c r="C88" i="18" a="1"/>
  <c r="C92" i="18" a="1"/>
  <c r="C96" i="18" a="1"/>
  <c r="B96" i="18" a="1"/>
  <c r="B88" i="18" a="1"/>
  <c r="B92" i="18" a="1"/>
  <c r="B80" i="18" a="1"/>
  <c r="B84" i="18" a="1"/>
  <c r="B70" i="18" a="1"/>
  <c r="B74" i="18" a="1"/>
  <c r="B59" i="18" a="1"/>
  <c r="B63" i="18" a="1"/>
  <c r="B67" i="18" a="1"/>
  <c r="B39" i="18" a="1"/>
  <c r="B43" i="18" a="1"/>
  <c r="B47" i="18" a="1"/>
  <c r="B51" i="18" a="1"/>
  <c r="B55" i="18" a="1"/>
  <c r="B4" i="18" a="1"/>
  <c r="B8" i="18" a="1"/>
  <c r="B12" i="18" a="1"/>
  <c r="B16" i="18" a="1"/>
  <c r="C5" i="18" a="1"/>
  <c r="C10" i="18" a="1"/>
  <c r="C16" i="18" a="1"/>
  <c r="C22" i="18" a="1"/>
  <c r="C27" i="18" a="1"/>
  <c r="C33" i="18" a="1"/>
  <c r="C38" i="18" a="1"/>
  <c r="C43" i="18" a="1"/>
  <c r="C49" i="18" a="1"/>
  <c r="C54" i="18" a="1"/>
  <c r="C59" i="18" a="1"/>
  <c r="C65" i="18" a="1"/>
  <c r="C70" i="18" a="1"/>
  <c r="C75" i="18" a="1"/>
  <c r="C81" i="18" a="1"/>
  <c r="C86" i="18" a="1"/>
  <c r="C91" i="18" a="1"/>
  <c r="C2" i="18" a="1"/>
  <c r="B93" i="18" a="1"/>
  <c r="B91" i="18" a="1"/>
  <c r="B81" i="18" a="1"/>
  <c r="B86" i="18" a="1"/>
  <c r="B73" i="18" a="1"/>
  <c r="B60" i="18" a="1"/>
  <c r="B65" i="18" a="1"/>
  <c r="B38" i="18" a="1"/>
  <c r="B44" i="18" a="1"/>
  <c r="B49" i="18" a="1"/>
  <c r="B54" i="18" a="1"/>
  <c r="B5" i="18" a="1"/>
  <c r="B10" i="18" a="1"/>
  <c r="B15" i="18" a="1"/>
  <c r="B20" i="18" a="1"/>
  <c r="B24" i="18" a="1"/>
  <c r="B28" i="18" a="1"/>
  <c r="B32" i="18" a="1"/>
  <c r="B36" i="18" a="1"/>
  <c r="C27" i="16" a="1"/>
  <c r="C26" i="16" a="1"/>
  <c r="C5" i="16" a="1"/>
  <c r="C30" i="16" a="1"/>
  <c r="C39" i="16" a="1"/>
  <c r="C4" i="18" a="1"/>
  <c r="C12" i="18" a="1"/>
  <c r="C18" i="18" a="1"/>
  <c r="C26" i="18" a="1"/>
  <c r="C34" i="18" a="1"/>
  <c r="C41" i="18" a="1"/>
  <c r="C47" i="18" a="1"/>
  <c r="C55" i="18" a="1"/>
  <c r="C62" i="18" a="1"/>
  <c r="C69" i="18" a="1"/>
  <c r="C77" i="18" a="1"/>
  <c r="C83" i="18" a="1"/>
  <c r="C90" i="18" a="1"/>
  <c r="B2" i="18" a="1"/>
  <c r="B89" i="18" a="1"/>
  <c r="B79" i="18" a="1"/>
  <c r="B87" i="18" a="1"/>
  <c r="B76" i="18" a="1"/>
  <c r="B64" i="18" a="1"/>
  <c r="B40" i="18" a="1"/>
  <c r="B46" i="18" a="1"/>
  <c r="B53" i="18" a="1"/>
  <c r="B6" i="18" a="1"/>
  <c r="B13" i="18" a="1"/>
  <c r="B19" i="18" a="1"/>
  <c r="B25" i="18" a="1"/>
  <c r="B30" i="18" a="1"/>
  <c r="B35" i="18" a="1"/>
  <c r="C19" i="16" a="1"/>
  <c r="C12" i="16" a="1"/>
  <c r="C45" i="16" a="1"/>
  <c r="C23" i="16" a="1"/>
  <c r="C33" i="16" a="1"/>
  <c r="C28" i="16" a="1"/>
  <c r="C6" i="16" a="1"/>
  <c r="C31" i="16" a="1"/>
  <c r="C41" i="16" a="1"/>
  <c r="C24" i="16" a="1"/>
  <c r="B42" i="16" a="1"/>
  <c r="B28" i="16" a="1"/>
  <c r="B37" i="16" a="1"/>
  <c r="B46" i="16" a="1"/>
  <c r="B40" i="16" a="1"/>
  <c r="B11" i="16" a="1"/>
  <c r="B20" i="16" a="1"/>
  <c r="B6" i="16" a="1"/>
  <c r="B15" i="16" a="1"/>
  <c r="B24" i="16" a="1"/>
  <c r="B10" i="16" a="1"/>
  <c r="C21" i="18" a="1"/>
  <c r="C78" i="18" a="1"/>
  <c r="C93" i="18" a="1"/>
  <c r="B82" i="18" a="1"/>
  <c r="B58" i="18" a="1"/>
  <c r="B66" i="18" a="1"/>
  <c r="B48" i="18" a="1"/>
  <c r="B7" i="18" a="1"/>
  <c r="B26" i="18" a="1"/>
  <c r="B37" i="18" a="1"/>
  <c r="C20" i="16" a="1"/>
  <c r="C14" i="16" a="1"/>
  <c r="C44" i="16" a="1"/>
  <c r="C22" i="16" a="1"/>
  <c r="C10" i="16" a="1"/>
  <c r="B36" i="16" a="1"/>
  <c r="B45" i="16" a="1"/>
  <c r="B19" i="16" a="1"/>
  <c r="B14" i="16" a="1"/>
  <c r="B23" i="16" a="1"/>
  <c r="C6" i="18" a="1"/>
  <c r="C13" i="18" a="1"/>
  <c r="C29" i="18" a="1"/>
  <c r="C35" i="18" a="1"/>
  <c r="C42" i="18" a="1"/>
  <c r="C50" i="18" a="1"/>
  <c r="C57" i="18" a="1"/>
  <c r="C63" i="18" a="1"/>
  <c r="C71" i="18" a="1"/>
  <c r="C85" i="18" a="1"/>
  <c r="B95" i="18" a="1"/>
  <c r="B90" i="18" a="1"/>
  <c r="B71" i="18" a="1"/>
  <c r="B41" i="18" a="1"/>
  <c r="B56" i="18" a="1"/>
  <c r="B14" i="18" a="1"/>
  <c r="B21" i="18" a="1"/>
  <c r="B31" i="18" a="1"/>
  <c r="C35" i="16" a="1"/>
  <c r="C16" i="16" a="1"/>
  <c r="C18" i="16" a="1"/>
  <c r="C8" i="16" a="1"/>
  <c r="C2" i="16" a="1"/>
  <c r="B27" i="16" a="1"/>
  <c r="B31" i="16" a="1"/>
  <c r="B33" i="16" a="1"/>
  <c r="B5" i="16" a="1"/>
  <c r="B9" i="16" a="1"/>
  <c r="B18" i="16" a="1"/>
  <c r="C8" i="18" a="1"/>
  <c r="C14" i="18" a="1"/>
  <c r="C23" i="18" a="1"/>
  <c r="C30" i="18" a="1"/>
  <c r="C37" i="18" a="1"/>
  <c r="C45" i="18" a="1"/>
  <c r="C51" i="18" a="1"/>
  <c r="C58" i="18" a="1"/>
  <c r="C66" i="18" a="1"/>
  <c r="C73" i="18" a="1"/>
  <c r="C79" i="18" a="1"/>
  <c r="C87" i="18" a="1"/>
  <c r="C94" i="18" a="1"/>
  <c r="B77" i="18" a="1"/>
  <c r="B83" i="18" a="1"/>
  <c r="B72" i="18" a="1"/>
  <c r="B61" i="18" a="1"/>
  <c r="B68" i="18" a="1"/>
  <c r="B42" i="18" a="1"/>
  <c r="B50" i="18" a="1"/>
  <c r="B57" i="18" a="1"/>
  <c r="B9" i="18" a="1"/>
  <c r="B17" i="18" a="1"/>
  <c r="B22" i="18" a="1"/>
  <c r="B27" i="18" a="1"/>
  <c r="B33" i="18" a="1"/>
  <c r="C3" i="16" a="1"/>
  <c r="C43" i="16" a="1"/>
  <c r="C36" i="16" a="1"/>
  <c r="C46" i="16" a="1"/>
  <c r="C40" i="16" a="1"/>
  <c r="C42" i="16" a="1"/>
  <c r="C13" i="16" a="1"/>
  <c r="C38" i="16" a="1"/>
  <c r="C32" i="16" a="1"/>
  <c r="C34" i="16" a="1"/>
  <c r="B26" i="16" a="1"/>
  <c r="B35" i="16" a="1"/>
  <c r="B44" i="16" a="1"/>
  <c r="B30" i="16" a="1"/>
  <c r="B39" i="16" a="1"/>
  <c r="B41" i="16" a="1"/>
  <c r="B4" i="16" a="1"/>
  <c r="B13" i="16" a="1"/>
  <c r="B22" i="16" a="1"/>
  <c r="B8" i="16" a="1"/>
  <c r="B17" i="16" a="1"/>
  <c r="B2" i="16" a="1"/>
  <c r="C20" i="18" a="1"/>
  <c r="C9" i="18" a="1"/>
  <c r="C17" i="18" a="1"/>
  <c r="C25" i="18" a="1"/>
  <c r="C31" i="18" a="1"/>
  <c r="C39" i="18" a="1"/>
  <c r="C46" i="18" a="1"/>
  <c r="C53" i="18" a="1"/>
  <c r="C61" i="18" a="1"/>
  <c r="C67" i="18" a="1"/>
  <c r="C74" i="18" a="1"/>
  <c r="C82" i="18" a="1"/>
  <c r="C89" i="18" a="1"/>
  <c r="C95" i="18" a="1"/>
  <c r="B94" i="18" a="1"/>
  <c r="B78" i="18" a="1"/>
  <c r="B85" i="18" a="1"/>
  <c r="B75" i="18" a="1"/>
  <c r="B62" i="18" a="1"/>
  <c r="B69" i="18" a="1"/>
  <c r="B45" i="18" a="1"/>
  <c r="B52" i="18" a="1"/>
  <c r="B3" i="18" a="1"/>
  <c r="B11" i="18" a="1"/>
  <c r="B18" i="18" a="1"/>
  <c r="B23" i="18" a="1"/>
  <c r="B29" i="18" a="1"/>
  <c r="B34" i="18" a="1"/>
  <c r="B12" i="16" a="1"/>
  <c r="C25" i="16" a="1"/>
  <c r="C4" i="16" a="1"/>
  <c r="C21" i="16" a="1"/>
  <c r="B38" i="16" a="1"/>
  <c r="B21" i="16" a="1"/>
  <c r="C37" i="16" a="1"/>
  <c r="C29" i="16" a="1"/>
  <c r="B34" i="16" a="1"/>
  <c r="B32" i="16" a="1"/>
  <c r="B7" i="16" a="1"/>
  <c r="C7" i="16" a="1"/>
  <c r="C15" i="16" a="1"/>
  <c r="B43" i="16" a="1"/>
  <c r="B3" i="16" a="1"/>
  <c r="B16" i="16" a="1"/>
  <c r="C11" i="16" a="1"/>
  <c r="C9" i="16" a="1"/>
  <c r="C17" i="16" a="1"/>
  <c r="B29" i="16" a="1"/>
  <c r="B25" i="16" a="1"/>
  <c r="A25" i="19" l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/>
  <c r="A90" i="19" s="1"/>
  <c r="A91" i="19" s="1"/>
  <c r="A92" i="19" s="1"/>
  <c r="A93" i="19" s="1"/>
  <c r="A94" i="19" s="1"/>
  <c r="A95" i="19"/>
  <c r="A96" i="19" s="1"/>
  <c r="A50" i="18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/>
  <c r="A90" i="18" s="1"/>
  <c r="A91" i="18" s="1"/>
  <c r="A92" i="18" s="1"/>
  <c r="A30" i="18"/>
  <c r="A31" i="18" s="1"/>
  <c r="A32" i="18" s="1"/>
  <c r="A33" i="18" s="1"/>
  <c r="A34" i="18" s="1"/>
  <c r="A35" i="18" s="1"/>
  <c r="A36" i="18" s="1"/>
  <c r="A4" i="16"/>
  <c r="A5" i="16"/>
  <c r="A6" i="16" s="1"/>
  <c r="A7" i="16" s="1"/>
  <c r="A8" i="16" s="1"/>
  <c r="A9" i="16" s="1"/>
  <c r="A10" i="16" s="1"/>
  <c r="A11" i="16" s="1"/>
  <c r="A12" i="16"/>
  <c r="A13" i="16"/>
  <c r="A14" i="16"/>
  <c r="A15" i="16"/>
  <c r="A16" i="16"/>
  <c r="A17" i="16"/>
  <c r="A18" i="16"/>
  <c r="A19" i="16"/>
  <c r="A20" i="16"/>
  <c r="A21" i="16"/>
  <c r="A22" i="16" s="1"/>
  <c r="A23" i="16" s="1"/>
  <c r="A24" i="16" s="1"/>
  <c r="A25" i="16" s="1"/>
  <c r="A26" i="16" s="1"/>
  <c r="A27" i="16" s="1"/>
  <c r="A28" i="16"/>
  <c r="A29" i="16"/>
  <c r="A30" i="16"/>
  <c r="A31" i="16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3" i="16"/>
  <c r="H3" i="12"/>
  <c r="A93" i="18" l="1"/>
  <c r="A94" i="18" s="1"/>
  <c r="A95" i="18" s="1"/>
  <c r="G3" i="11"/>
  <c r="G208" i="14" a="1"/>
  <c r="G21" i="12" a="1"/>
  <c r="G162" i="12" a="1"/>
  <c r="G30" i="12" a="1"/>
  <c r="F37" i="11" a="1"/>
  <c r="F16" i="11" a="1"/>
  <c r="G156" i="14" a="1"/>
  <c r="F166" i="11" a="1"/>
  <c r="G53" i="12" a="1"/>
  <c r="F135" i="14" a="1"/>
  <c r="F42" i="11" a="1"/>
  <c r="F115" i="11" a="1"/>
  <c r="G159" i="12" a="1"/>
  <c r="F33" i="11" a="1"/>
  <c r="G78" i="12" a="1"/>
  <c r="F48" i="11" a="1"/>
  <c r="F137" i="11" a="1"/>
  <c r="G170" i="14" a="1"/>
  <c r="F151" i="14" a="1"/>
  <c r="F113" i="11" a="1"/>
  <c r="G101" i="12" a="1"/>
  <c r="G181" i="12" a="1"/>
  <c r="G171" i="14" a="1"/>
  <c r="G70" i="12" a="1"/>
  <c r="G202" i="14" a="1"/>
  <c r="F120" i="14" a="1"/>
  <c r="G128" i="12" a="1"/>
  <c r="G79" i="12" a="1"/>
  <c r="G155" i="12" a="1"/>
  <c r="G149" i="14" a="1"/>
  <c r="G155" i="14" a="1"/>
  <c r="G197" i="12" a="1"/>
  <c r="F165" i="14" a="1"/>
  <c r="F153" i="11" a="1"/>
  <c r="F55" i="11" a="1"/>
  <c r="G6" i="12" a="1"/>
  <c r="F25" i="11" a="1"/>
  <c r="F142" i="14" a="1"/>
  <c r="F14" i="11" a="1"/>
  <c r="G202" i="12" a="1"/>
  <c r="G163" i="14" a="1"/>
  <c r="G23" i="12" a="1"/>
  <c r="F164" i="11" a="1"/>
  <c r="G93" i="12" a="1"/>
  <c r="G49" i="12" a="1"/>
  <c r="G158" i="14" a="1"/>
  <c r="G84" i="12" a="1"/>
  <c r="F39" i="11" a="1"/>
  <c r="G173" i="12" a="1"/>
  <c r="G54" i="12" a="1"/>
  <c r="G186" i="14" a="1"/>
  <c r="G215" i="14" a="1"/>
  <c r="G116" i="12" a="1"/>
  <c r="F68" i="11" a="1"/>
  <c r="F135" i="11" a="1"/>
  <c r="G58" i="12" a="1"/>
  <c r="G148" i="12" a="1"/>
  <c r="F80" i="11" a="1"/>
  <c r="G132" i="12" a="1"/>
  <c r="F125" i="14" a="1"/>
  <c r="F160" i="14" a="1"/>
  <c r="G147" i="12" a="1"/>
  <c r="F120" i="11" a="1"/>
  <c r="F116" i="11" a="1"/>
  <c r="G204" i="12" a="1"/>
  <c r="G157" i="14" a="1"/>
  <c r="G86" i="12" a="1"/>
  <c r="F114" i="11" a="1"/>
  <c r="G16" i="12" a="1"/>
  <c r="G189" i="14" a="1"/>
  <c r="G118" i="12" a="1"/>
  <c r="G146" i="14" a="1"/>
  <c r="G139" i="14" a="1"/>
  <c r="G134" i="12" a="1"/>
  <c r="G31" i="12" a="1"/>
  <c r="G80" i="12" a="1"/>
  <c r="G209" i="12" a="1"/>
  <c r="G142" i="12" a="1"/>
  <c r="F97" i="11" a="1"/>
  <c r="F131" i="11" a="1"/>
  <c r="G96" i="12" a="1"/>
  <c r="G218" i="14" a="1"/>
  <c r="G217" i="14" a="1"/>
  <c r="G217" i="12" a="1"/>
  <c r="F126" i="14" a="1"/>
  <c r="G41" i="12" a="1"/>
  <c r="F165" i="11" a="1"/>
  <c r="F162" i="11" a="1"/>
  <c r="G166" i="14" a="1"/>
  <c r="F31" i="11" a="1"/>
  <c r="G194" i="12" a="1"/>
  <c r="F53" i="11" a="1"/>
  <c r="G61" i="12" a="1"/>
  <c r="F71" i="11" a="1"/>
  <c r="G22" i="12" a="1"/>
  <c r="G153" i="14" a="1"/>
  <c r="G50" i="12" a="1"/>
  <c r="F73" i="11" a="1"/>
  <c r="G38" i="12" a="1"/>
  <c r="G224" i="12" a="1"/>
  <c r="F105" i="11" a="1"/>
  <c r="G159" i="14" a="1"/>
  <c r="F3" i="11" a="1"/>
  <c r="F127" i="11" a="1"/>
  <c r="F56" i="11" a="1"/>
  <c r="G214" i="14" a="1"/>
  <c r="G15" i="12" a="1"/>
  <c r="G129" i="14" a="1"/>
  <c r="G213" i="14" a="1"/>
  <c r="F17" i="11" a="1"/>
  <c r="G176" i="12" a="1"/>
  <c r="G171" i="12" a="1"/>
  <c r="F127" i="14" a="1"/>
  <c r="F153" i="14" a="1"/>
  <c r="F145" i="14" a="1"/>
  <c r="F148" i="11" a="1"/>
  <c r="F136" i="11" a="1"/>
  <c r="G17" i="12" a="1"/>
  <c r="G132" i="14" a="1"/>
  <c r="G179" i="12" a="1"/>
  <c r="F138" i="14" a="1"/>
  <c r="G172" i="14" a="1"/>
  <c r="G210" i="12" a="1"/>
  <c r="F143" i="14" a="1"/>
  <c r="F74" i="11" a="1"/>
  <c r="F81" i="11" a="1"/>
  <c r="F123" i="14" a="1"/>
  <c r="G199" i="14" a="1"/>
  <c r="F69" i="11" a="1"/>
  <c r="F58" i="11" a="1"/>
  <c r="F129" i="14" a="1"/>
  <c r="G148" i="14" a="1"/>
  <c r="G195" i="14" a="1"/>
  <c r="G203" i="12" a="1"/>
  <c r="F159" i="14" a="1"/>
  <c r="F102" i="11" a="1"/>
  <c r="G18" i="12" a="1"/>
  <c r="G8" i="12" a="1"/>
  <c r="F85" i="11" a="1"/>
  <c r="F118" i="11" a="1"/>
  <c r="G127" i="14" a="1"/>
  <c r="G40" i="12" a="1"/>
  <c r="F70" i="11" a="1"/>
  <c r="G51" i="12" a="1"/>
  <c r="F24" i="11" a="1"/>
  <c r="F155" i="11" a="1"/>
  <c r="F132" i="14" a="1"/>
  <c r="G127" i="12" a="1"/>
  <c r="G2" i="12" a="1"/>
  <c r="F2" i="11" a="1"/>
  <c r="G152" i="14" a="1"/>
  <c r="F122" i="11" a="1"/>
  <c r="G68" i="12" a="1"/>
  <c r="G123" i="14" a="1"/>
  <c r="F103" i="11" a="1"/>
  <c r="F164" i="14" a="1"/>
  <c r="G210" i="14" a="1"/>
  <c r="G133" i="14" a="1"/>
  <c r="G65" i="12" a="1"/>
  <c r="G71" i="12" a="1"/>
  <c r="F154" i="11" a="1"/>
  <c r="F64" i="11" a="1"/>
  <c r="G160" i="14" a="1"/>
  <c r="G97" i="12" a="1"/>
  <c r="G103" i="12" a="1"/>
  <c r="G67" i="12" a="1"/>
  <c r="F94" i="11" a="1"/>
  <c r="G176" i="14" a="1"/>
  <c r="G129" i="12" a="1"/>
  <c r="G166" i="12" a="1"/>
  <c r="G131" i="12" a="1"/>
  <c r="F110" i="11" a="1"/>
  <c r="G192" i="14" a="1"/>
  <c r="G66" i="12" a="1"/>
  <c r="G182" i="12" a="1"/>
  <c r="G193" i="14" a="1"/>
  <c r="F126" i="11" a="1"/>
  <c r="G222" i="12" a="1"/>
  <c r="F118" i="14" a="1"/>
  <c r="F93" i="11" a="1"/>
  <c r="F12" i="11" a="1"/>
  <c r="G12" i="12" a="1"/>
  <c r="G196" i="14" a="1"/>
  <c r="G136" i="12" a="1"/>
  <c r="G109" i="12" a="1"/>
  <c r="G200" i="12" a="1"/>
  <c r="G223" i="12" a="1"/>
  <c r="G75" i="12" a="1"/>
  <c r="G216" i="14" a="1"/>
  <c r="F161" i="11" a="1"/>
  <c r="F92" i="11" a="1"/>
  <c r="G156" i="12" a="1"/>
  <c r="G198" i="14" a="1"/>
  <c r="G10" i="12" a="1"/>
  <c r="F23" i="11" a="1"/>
  <c r="G83" i="12" a="1"/>
  <c r="F163" i="14" a="1"/>
  <c r="F43" i="11" a="1"/>
  <c r="F125" i="11" a="1"/>
  <c r="F104" i="11" a="1"/>
  <c r="G106" i="12" a="1"/>
  <c r="F124" i="14" a="1"/>
  <c r="F51" i="11" a="1"/>
  <c r="F133" i="11" a="1"/>
  <c r="G34" i="12" a="1"/>
  <c r="F141" i="11" a="1"/>
  <c r="F124" i="11" a="1"/>
  <c r="G220" i="12" a="1"/>
  <c r="G137" i="12" a="1"/>
  <c r="G112" i="12" a="1"/>
  <c r="G42" i="12" a="1"/>
  <c r="G139" i="12" a="1"/>
  <c r="G128" i="14" a="1"/>
  <c r="G135" i="12" a="1"/>
  <c r="G165" i="12" a="1"/>
  <c r="F145" i="11" a="1"/>
  <c r="F143" i="11" a="1"/>
  <c r="F122" i="14" a="1"/>
  <c r="G167" i="14" a="1"/>
  <c r="G121" i="14" a="1"/>
  <c r="F163" i="11" a="1"/>
  <c r="F160" i="11" a="1"/>
  <c r="G119" i="12" a="1"/>
  <c r="G208" i="12" a="1"/>
  <c r="F61" i="11" a="1"/>
  <c r="G74" i="12" a="1"/>
  <c r="G151" i="12" a="1"/>
  <c r="F158" i="14" a="1"/>
  <c r="F18" i="11" a="1"/>
  <c r="G175" i="12" a="1"/>
  <c r="F77" i="11" a="1"/>
  <c r="F161" i="14" a="1"/>
  <c r="G175" i="14" a="1"/>
  <c r="F139" i="14" a="1"/>
  <c r="F11" i="11" a="1"/>
  <c r="G213" i="12" a="1"/>
  <c r="G224" i="14" a="1"/>
  <c r="G37" i="12" a="1"/>
  <c r="G178" i="12" a="1"/>
  <c r="G46" i="12" a="1"/>
  <c r="F45" i="11" a="1"/>
  <c r="F26" i="11" a="1"/>
  <c r="G220" i="14" a="1"/>
  <c r="G151" i="14" a="1"/>
  <c r="G138" i="14" a="1"/>
  <c r="G87" i="12" a="1"/>
  <c r="G140" i="14" a="1"/>
  <c r="G62" i="12" a="1"/>
  <c r="F156" i="11" a="1"/>
  <c r="G33" i="12" a="1"/>
  <c r="G183" i="14" a="1"/>
  <c r="F22" i="11" a="1"/>
  <c r="G125" i="12" a="1"/>
  <c r="G142" i="14" a="1"/>
  <c r="G85" i="12" a="1"/>
  <c r="G195" i="12" a="1"/>
  <c r="F30" i="11" a="1"/>
  <c r="G13" i="12" a="1"/>
  <c r="G3" i="12" a="1"/>
  <c r="F131" i="14" a="1"/>
  <c r="G174" i="14" a="1"/>
  <c r="G110" i="12" a="1"/>
  <c r="F38" i="11" a="1"/>
  <c r="G205" i="12" a="1"/>
  <c r="G117" i="12" a="1"/>
  <c r="G211" i="12" a="1"/>
  <c r="F46" i="11" a="1"/>
  <c r="G64" i="12" a="1"/>
  <c r="G201" i="12" a="1"/>
  <c r="G14" i="12" a="1"/>
  <c r="F87" i="11" a="1"/>
  <c r="F121" i="11" a="1"/>
  <c r="G184" i="12" a="1"/>
  <c r="G207" i="14" a="1"/>
  <c r="G4" i="12" a="1"/>
  <c r="G206" i="14" a="1"/>
  <c r="G196" i="12" a="1"/>
  <c r="G7" i="12" a="1"/>
  <c r="G177" i="12" a="1"/>
  <c r="F89" i="11" a="1"/>
  <c r="G185" i="12" a="1"/>
  <c r="F144" i="14" a="1"/>
  <c r="F130" i="14" a="1"/>
  <c r="G161" i="14" a="1"/>
  <c r="F10" i="11" a="1"/>
  <c r="G158" i="12" a="1"/>
  <c r="F133" i="14" a="1"/>
  <c r="F5" i="11" a="1"/>
  <c r="G187" i="14" a="1"/>
  <c r="F152" i="11" a="1"/>
  <c r="G174" i="12" a="1"/>
  <c r="F141" i="14" a="1"/>
  <c r="F13" i="11" a="1"/>
  <c r="G168" i="12" a="1"/>
  <c r="G135" i="14" a="1"/>
  <c r="G190" i="12" a="1"/>
  <c r="F149" i="14" a="1"/>
  <c r="F21" i="11" a="1"/>
  <c r="G57" i="12" a="1"/>
  <c r="G77" i="12" a="1"/>
  <c r="G206" i="12" a="1"/>
  <c r="F157" i="14" a="1"/>
  <c r="F29" i="11" a="1"/>
  <c r="F159" i="11" a="1"/>
  <c r="G162" i="14" a="1"/>
  <c r="G180" i="14" a="1"/>
  <c r="G120" i="12" a="1"/>
  <c r="G45" i="12" a="1"/>
  <c r="G113" i="12" a="1"/>
  <c r="G215" i="12" a="1"/>
  <c r="G59" i="12" a="1"/>
  <c r="G200" i="14" a="1"/>
  <c r="G197" i="14" a="1"/>
  <c r="F9" i="11" a="1"/>
  <c r="G160" i="12" a="1"/>
  <c r="G163" i="12" a="1"/>
  <c r="F119" i="14" a="1"/>
  <c r="F121" i="14" a="1"/>
  <c r="G138" i="12" a="1"/>
  <c r="F132" i="11" a="1"/>
  <c r="F112" i="11" a="1"/>
  <c r="G209" i="14" a="1"/>
  <c r="F36" i="11" a="1"/>
  <c r="G29" i="12" a="1"/>
  <c r="G154" i="14" a="1"/>
  <c r="G143" i="12" a="1"/>
  <c r="F150" i="14" a="1"/>
  <c r="G194" i="14" a="1"/>
  <c r="G141" i="12" a="1"/>
  <c r="F41" i="11" a="1"/>
  <c r="G94" i="12" a="1"/>
  <c r="G157" i="12" a="1"/>
  <c r="G177" i="14" a="1"/>
  <c r="F65" i="11" a="1"/>
  <c r="F28" i="11" a="1"/>
  <c r="G183" i="12" a="1"/>
  <c r="F57" i="11" a="1"/>
  <c r="G126" i="12" a="1"/>
  <c r="G122" i="14" a="1"/>
  <c r="G55" i="12" a="1"/>
  <c r="G225" i="12" a="1"/>
  <c r="F134" i="14" a="1"/>
  <c r="G120" i="14" a="1"/>
  <c r="F6" i="11" a="1"/>
  <c r="F140" i="11" a="1"/>
  <c r="G121" i="12" a="1"/>
  <c r="F95" i="11" a="1"/>
  <c r="G144" i="12" a="1"/>
  <c r="G111" i="12" a="1"/>
  <c r="G192" i="12" a="1"/>
  <c r="G182" i="14" a="1"/>
  <c r="F63" i="11" a="1"/>
  <c r="G69" i="12" a="1"/>
  <c r="G187" i="12" a="1"/>
  <c r="F7" i="11" a="1"/>
  <c r="F8" i="11" a="1"/>
  <c r="G167" i="12" a="1"/>
  <c r="G179" i="14" a="1"/>
  <c r="G76" i="12" a="1"/>
  <c r="G35" i="12" a="1"/>
  <c r="F84" i="11" a="1"/>
  <c r="F166" i="14" a="1"/>
  <c r="F49" i="11" a="1"/>
  <c r="G222" i="14" a="1"/>
  <c r="G108" i="12" a="1"/>
  <c r="G99" i="12" a="1"/>
  <c r="G189" i="12" a="1"/>
  <c r="G211" i="14" a="1"/>
  <c r="G140" i="12" a="1"/>
  <c r="F75" i="11" a="1"/>
  <c r="G150" i="12" a="1"/>
  <c r="G225" i="14" a="1"/>
  <c r="G26" i="12" a="1"/>
  <c r="F146" i="11" a="1"/>
  <c r="F52" i="11" a="1"/>
  <c r="F128" i="11" a="1"/>
  <c r="G181" i="14" a="1"/>
  <c r="G105" i="12" a="1"/>
  <c r="F67" i="11" a="1"/>
  <c r="F149" i="11" a="1"/>
  <c r="F32" i="11" a="1"/>
  <c r="G90" i="12" a="1"/>
  <c r="G170" i="12" a="1"/>
  <c r="G122" i="12" a="1"/>
  <c r="G186" i="12" a="1"/>
  <c r="G48" i="12" a="1"/>
  <c r="G24" i="12" a="1"/>
  <c r="F147" i="11" a="1"/>
  <c r="G143" i="14" a="1"/>
  <c r="G56" i="12" a="1"/>
  <c r="F78" i="11" a="1"/>
  <c r="G115" i="12" a="1"/>
  <c r="F44" i="11" a="1"/>
  <c r="G124" i="14" a="1"/>
  <c r="G72" i="12" a="1"/>
  <c r="F86" i="11" a="1"/>
  <c r="G147" i="14" a="1"/>
  <c r="F76" i="11" a="1"/>
  <c r="G145" i="14" a="1"/>
  <c r="G88" i="12" a="1"/>
  <c r="G131" i="14" a="1"/>
  <c r="G219" i="14" a="1"/>
  <c r="F96" i="11" a="1"/>
  <c r="G164" i="14" a="1"/>
  <c r="G104" i="12" a="1"/>
  <c r="G204" i="14" a="1"/>
  <c r="G134" i="14" a="1"/>
  <c r="G207" i="12" a="1"/>
  <c r="G43" i="12" a="1"/>
  <c r="G184" i="14" a="1"/>
  <c r="F139" i="11" a="1"/>
  <c r="F72" i="11" a="1"/>
  <c r="G92" i="12" a="1"/>
  <c r="G130" i="12" a="1"/>
  <c r="G214" i="12" a="1"/>
  <c r="G218" i="12" a="1"/>
  <c r="G221" i="12" a="1"/>
  <c r="F147" i="14" a="1"/>
  <c r="F27" i="11" a="1"/>
  <c r="F109" i="11" a="1"/>
  <c r="F66" i="11" a="1"/>
  <c r="G82" i="12" a="1"/>
  <c r="G126" i="14" a="1"/>
  <c r="G11" i="12" a="1"/>
  <c r="G199" i="12" a="1"/>
  <c r="F60" i="11" a="1"/>
  <c r="G216" i="12" a="1"/>
  <c r="F101" i="11" a="1"/>
  <c r="G145" i="12" a="1"/>
  <c r="G152" i="12" a="1"/>
  <c r="G47" i="12" a="1"/>
  <c r="G5" i="12" a="1"/>
  <c r="G9" i="12" a="1"/>
  <c r="F88" i="11" a="1"/>
  <c r="G150" i="14" a="1"/>
  <c r="G39" i="12" a="1"/>
  <c r="G81" i="12" a="1"/>
  <c r="F108" i="11" a="1"/>
  <c r="G188" i="12" a="1"/>
  <c r="G136" i="14" a="1"/>
  <c r="F123" i="11" a="1"/>
  <c r="G180" i="12" a="1"/>
  <c r="G137" i="14" a="1"/>
  <c r="G169" i="12" a="1"/>
  <c r="G146" i="12" a="1"/>
  <c r="G102" i="12" a="1"/>
  <c r="G212" i="12" a="1"/>
  <c r="F158" i="11" a="1"/>
  <c r="G32" i="12" a="1"/>
  <c r="F54" i="11" a="1"/>
  <c r="F83" i="11" a="1"/>
  <c r="G221" i="14" a="1"/>
  <c r="F138" i="11" a="1"/>
  <c r="F146" i="14" a="1"/>
  <c r="G172" i="12" a="1"/>
  <c r="G118" i="14" a="1"/>
  <c r="F90" i="11" a="1"/>
  <c r="G28" i="12" a="1"/>
  <c r="G149" i="12" a="1"/>
  <c r="G164" i="12" a="1"/>
  <c r="F47" i="11" a="1"/>
  <c r="F106" i="11" a="1"/>
  <c r="F20" i="11" a="1"/>
  <c r="G20" i="12" a="1"/>
  <c r="F142" i="11" a="1"/>
  <c r="F148" i="14" a="1"/>
  <c r="F136" i="14" a="1"/>
  <c r="G119" i="14" a="1"/>
  <c r="F156" i="14" a="1"/>
  <c r="F130" i="11" a="1"/>
  <c r="G100" i="12" a="1"/>
  <c r="G185" i="14" a="1"/>
  <c r="G19" i="12" a="1"/>
  <c r="F40" i="11" a="1"/>
  <c r="F119" i="11" a="1"/>
  <c r="G168" i="14" a="1"/>
  <c r="G98" i="12" a="1"/>
  <c r="G201" i="14" a="1"/>
  <c r="F34" i="11" a="1"/>
  <c r="G212" i="14" a="1"/>
  <c r="G203" i="14" a="1"/>
  <c r="G125" i="14" a="1"/>
  <c r="F35" i="11" a="1"/>
  <c r="G44" i="12" a="1"/>
  <c r="F100" i="11" a="1"/>
  <c r="G133" i="12" a="1"/>
  <c r="G25" i="12" a="1"/>
  <c r="F91" i="11" a="1"/>
  <c r="G191" i="14" a="1"/>
  <c r="G123" i="12" a="1"/>
  <c r="G95" i="12" a="1"/>
  <c r="G161" i="12" a="1"/>
  <c r="F134" i="11" a="1"/>
  <c r="G223" i="14" a="1"/>
  <c r="G173" i="14" a="1"/>
  <c r="F79" i="11" a="1"/>
  <c r="G36" i="12" a="1"/>
  <c r="F154" i="14" a="1"/>
  <c r="G52" i="12" a="1"/>
  <c r="G188" i="14" a="1"/>
  <c r="G193" i="12" a="1"/>
  <c r="F152" i="14" a="1"/>
  <c r="G191" i="12" a="1"/>
  <c r="F129" i="11" a="1"/>
  <c r="F19" i="11" a="1"/>
  <c r="G141" i="14" a="1"/>
  <c r="F155" i="14" a="1"/>
  <c r="F4" i="11" a="1"/>
  <c r="F107" i="11" a="1"/>
  <c r="G144" i="14" a="1"/>
  <c r="G27" i="12" a="1"/>
  <c r="G60" i="12" a="1"/>
  <c r="F150" i="11" a="1"/>
  <c r="F151" i="11" a="1"/>
  <c r="G124" i="12" a="1"/>
  <c r="G169" i="14" a="1"/>
  <c r="G178" i="14" a="1"/>
  <c r="G91" i="12" a="1"/>
  <c r="F117" i="11" a="1"/>
  <c r="F157" i="11" a="1"/>
  <c r="F111" i="11" a="1"/>
  <c r="F50" i="11" a="1"/>
  <c r="G198" i="12" a="1"/>
  <c r="F82" i="11" a="1"/>
  <c r="F137" i="14" a="1"/>
  <c r="G219" i="12" a="1"/>
  <c r="G153" i="12" a="1"/>
  <c r="G107" i="12" a="1"/>
  <c r="G63" i="12" a="1"/>
  <c r="F15" i="11" a="1"/>
  <c r="G165" i="14" a="1"/>
  <c r="G73" i="12" a="1"/>
  <c r="F98" i="11" a="1"/>
  <c r="F59" i="11" a="1"/>
  <c r="F144" i="11" a="1"/>
  <c r="F140" i="14" a="1"/>
  <c r="F128" i="14" a="1"/>
  <c r="G114" i="12" a="1"/>
  <c r="G130" i="14" a="1"/>
  <c r="G89" i="12" a="1"/>
  <c r="G190" i="14" a="1"/>
  <c r="G205" i="14" a="1"/>
  <c r="F99" i="11" a="1"/>
  <c r="G154" i="12" a="1"/>
  <c r="F62" i="11" a="1"/>
  <c r="F162" i="14" a="1"/>
  <c r="A3" i="12" l="1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D45" i="17"/>
  <c r="D43" i="17"/>
  <c r="D41" i="17"/>
  <c r="D39" i="17"/>
  <c r="D37" i="17"/>
  <c r="D35" i="17"/>
  <c r="D33" i="17"/>
  <c r="D31" i="17"/>
  <c r="D25" i="17"/>
  <c r="D19" i="17"/>
  <c r="D17" i="17"/>
  <c r="D13" i="17"/>
  <c r="D11" i="17"/>
  <c r="D9" i="17"/>
  <c r="C46" i="16"/>
  <c r="B46" i="16"/>
  <c r="C45" i="16"/>
  <c r="B45" i="16"/>
  <c r="C44" i="16"/>
  <c r="B44" i="16"/>
  <c r="C43" i="16"/>
  <c r="B43" i="16"/>
  <c r="C42" i="16"/>
  <c r="B42" i="16"/>
  <c r="C41" i="16"/>
  <c r="B41" i="16"/>
  <c r="C40" i="16"/>
  <c r="B40" i="16"/>
  <c r="C39" i="16"/>
  <c r="B39" i="16"/>
  <c r="C38" i="16"/>
  <c r="B38" i="16"/>
  <c r="C37" i="16"/>
  <c r="B37" i="16"/>
  <c r="C36" i="16"/>
  <c r="B36" i="16"/>
  <c r="C35" i="16"/>
  <c r="B35" i="16"/>
  <c r="C34" i="16"/>
  <c r="B34" i="16"/>
  <c r="C33" i="16"/>
  <c r="B33" i="16"/>
  <c r="C32" i="16"/>
  <c r="B32" i="16"/>
  <c r="C31" i="16"/>
  <c r="B31" i="16"/>
  <c r="C30" i="16"/>
  <c r="B30" i="16"/>
  <c r="D30" i="16" s="1"/>
  <c r="C29" i="16"/>
  <c r="B29" i="16"/>
  <c r="C28" i="16"/>
  <c r="B28" i="16"/>
  <c r="C27" i="16"/>
  <c r="B27" i="16"/>
  <c r="C26" i="16"/>
  <c r="B26" i="16"/>
  <c r="D26" i="16" s="1"/>
  <c r="C25" i="16"/>
  <c r="B25" i="16"/>
  <c r="C24" i="16"/>
  <c r="B24" i="16"/>
  <c r="C23" i="16"/>
  <c r="B23" i="16"/>
  <c r="C22" i="16"/>
  <c r="B22" i="16"/>
  <c r="C21" i="16"/>
  <c r="B21" i="16"/>
  <c r="C20" i="16"/>
  <c r="B20" i="16"/>
  <c r="C19" i="16"/>
  <c r="B19" i="16"/>
  <c r="C18" i="16"/>
  <c r="B18" i="16"/>
  <c r="C17" i="16"/>
  <c r="B17" i="16"/>
  <c r="C16" i="16"/>
  <c r="B16" i="16"/>
  <c r="C15" i="16"/>
  <c r="B15" i="16"/>
  <c r="C14" i="16"/>
  <c r="B14" i="16"/>
  <c r="C13" i="16"/>
  <c r="B13" i="16"/>
  <c r="C12" i="16"/>
  <c r="B12" i="16"/>
  <c r="C11" i="16"/>
  <c r="B11" i="16"/>
  <c r="C10" i="16"/>
  <c r="B10" i="16"/>
  <c r="C9" i="16"/>
  <c r="B9" i="16"/>
  <c r="C8" i="16"/>
  <c r="B8" i="16"/>
  <c r="C7" i="16"/>
  <c r="B7" i="16"/>
  <c r="C6" i="16"/>
  <c r="B6" i="16"/>
  <c r="C5" i="16"/>
  <c r="B5" i="16"/>
  <c r="C4" i="16"/>
  <c r="B4" i="16"/>
  <c r="C3" i="16"/>
  <c r="B3" i="16"/>
  <c r="C2" i="16"/>
  <c r="B2" i="16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F166" i="14"/>
  <c r="G165" i="14"/>
  <c r="F165" i="14"/>
  <c r="G164" i="14"/>
  <c r="F164" i="14"/>
  <c r="G163" i="14"/>
  <c r="F163" i="14"/>
  <c r="G162" i="14"/>
  <c r="F162" i="14"/>
  <c r="G161" i="14"/>
  <c r="F161" i="14"/>
  <c r="G160" i="14"/>
  <c r="F160" i="14"/>
  <c r="G159" i="14"/>
  <c r="F159" i="14"/>
  <c r="G158" i="14"/>
  <c r="F158" i="14"/>
  <c r="G157" i="14"/>
  <c r="F157" i="14"/>
  <c r="G156" i="14"/>
  <c r="F156" i="14"/>
  <c r="G155" i="14"/>
  <c r="F155" i="14"/>
  <c r="G154" i="14"/>
  <c r="F154" i="14"/>
  <c r="G153" i="14"/>
  <c r="F153" i="14"/>
  <c r="G152" i="14"/>
  <c r="F152" i="14"/>
  <c r="G151" i="14"/>
  <c r="F151" i="14"/>
  <c r="G150" i="14"/>
  <c r="F150" i="14"/>
  <c r="G149" i="14"/>
  <c r="F149" i="14"/>
  <c r="G148" i="14"/>
  <c r="F148" i="14"/>
  <c r="G147" i="14"/>
  <c r="F147" i="14"/>
  <c r="G146" i="14"/>
  <c r="F146" i="14"/>
  <c r="G145" i="14"/>
  <c r="F145" i="14"/>
  <c r="G144" i="14"/>
  <c r="F144" i="14"/>
  <c r="G143" i="14"/>
  <c r="F143" i="14"/>
  <c r="G142" i="14"/>
  <c r="F142" i="14"/>
  <c r="G141" i="14"/>
  <c r="F141" i="14"/>
  <c r="G140" i="14"/>
  <c r="F140" i="14"/>
  <c r="G139" i="14"/>
  <c r="F139" i="14"/>
  <c r="G138" i="14"/>
  <c r="F138" i="14"/>
  <c r="G137" i="14"/>
  <c r="F137" i="14"/>
  <c r="G136" i="14"/>
  <c r="F136" i="14"/>
  <c r="G135" i="14"/>
  <c r="F135" i="14"/>
  <c r="G134" i="14"/>
  <c r="F134" i="14"/>
  <c r="G133" i="14"/>
  <c r="F133" i="14"/>
  <c r="G132" i="14"/>
  <c r="F132" i="14"/>
  <c r="G131" i="14"/>
  <c r="F131" i="14"/>
  <c r="G130" i="14"/>
  <c r="F130" i="14"/>
  <c r="G129" i="14"/>
  <c r="F129" i="14"/>
  <c r="G128" i="14"/>
  <c r="F128" i="14"/>
  <c r="G127" i="14"/>
  <c r="F127" i="14"/>
  <c r="G126" i="14"/>
  <c r="F126" i="14"/>
  <c r="G125" i="14"/>
  <c r="F125" i="14"/>
  <c r="G124" i="14"/>
  <c r="F124" i="14"/>
  <c r="G123" i="14"/>
  <c r="F123" i="14"/>
  <c r="G122" i="14"/>
  <c r="F122" i="14"/>
  <c r="G121" i="14"/>
  <c r="F121" i="14"/>
  <c r="G120" i="14"/>
  <c r="F120" i="14"/>
  <c r="G119" i="14"/>
  <c r="F119" i="14"/>
  <c r="G118" i="14"/>
  <c r="F118" i="14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C96" i="18"/>
  <c r="B96" i="18"/>
  <c r="D96" i="18" s="1"/>
  <c r="C95" i="18"/>
  <c r="B95" i="18"/>
  <c r="C94" i="18"/>
  <c r="B94" i="18"/>
  <c r="C93" i="18"/>
  <c r="B93" i="18"/>
  <c r="C92" i="18"/>
  <c r="B92" i="18"/>
  <c r="D92" i="18" s="1"/>
  <c r="C91" i="18"/>
  <c r="B91" i="18"/>
  <c r="C90" i="18"/>
  <c r="B90" i="18"/>
  <c r="D90" i="18" s="1"/>
  <c r="C89" i="18"/>
  <c r="B89" i="18"/>
  <c r="C88" i="18"/>
  <c r="B88" i="18"/>
  <c r="D88" i="18" s="1"/>
  <c r="C87" i="18"/>
  <c r="B87" i="18"/>
  <c r="C86" i="18"/>
  <c r="B86" i="18"/>
  <c r="D86" i="18" s="1"/>
  <c r="C85" i="18"/>
  <c r="B85" i="18"/>
  <c r="C84" i="18"/>
  <c r="B84" i="18"/>
  <c r="D84" i="18" s="1"/>
  <c r="C83" i="18"/>
  <c r="B83" i="18"/>
  <c r="C82" i="18"/>
  <c r="B82" i="18"/>
  <c r="C81" i="18"/>
  <c r="B81" i="18"/>
  <c r="C80" i="18"/>
  <c r="B80" i="18"/>
  <c r="D80" i="18" s="1"/>
  <c r="C79" i="18"/>
  <c r="B79" i="18"/>
  <c r="C78" i="18"/>
  <c r="B78" i="18"/>
  <c r="C77" i="18"/>
  <c r="B77" i="18"/>
  <c r="C76" i="18"/>
  <c r="B76" i="18"/>
  <c r="D76" i="18" s="1"/>
  <c r="C75" i="18"/>
  <c r="B75" i="18"/>
  <c r="C74" i="18"/>
  <c r="B74" i="18"/>
  <c r="C73" i="18"/>
  <c r="B73" i="18"/>
  <c r="C72" i="18"/>
  <c r="B72" i="18"/>
  <c r="D72" i="18" s="1"/>
  <c r="C71" i="18"/>
  <c r="B71" i="18"/>
  <c r="C70" i="18"/>
  <c r="B70" i="18"/>
  <c r="D70" i="18" s="1"/>
  <c r="C69" i="18"/>
  <c r="B69" i="18"/>
  <c r="C68" i="18"/>
  <c r="B68" i="18"/>
  <c r="D68" i="18" s="1"/>
  <c r="C67" i="18"/>
  <c r="B67" i="18"/>
  <c r="C66" i="18"/>
  <c r="B66" i="18"/>
  <c r="C65" i="18"/>
  <c r="B65" i="18"/>
  <c r="C64" i="18"/>
  <c r="B64" i="18"/>
  <c r="D64" i="18" s="1"/>
  <c r="C63" i="18"/>
  <c r="B63" i="18"/>
  <c r="C62" i="18"/>
  <c r="B62" i="18"/>
  <c r="D62" i="18" s="1"/>
  <c r="C61" i="18"/>
  <c r="B61" i="18"/>
  <c r="C60" i="18"/>
  <c r="B60" i="18"/>
  <c r="D60" i="18" s="1"/>
  <c r="C59" i="18"/>
  <c r="B59" i="18"/>
  <c r="C58" i="18"/>
  <c r="B58" i="18"/>
  <c r="C57" i="18"/>
  <c r="B57" i="18"/>
  <c r="C56" i="18"/>
  <c r="B56" i="18"/>
  <c r="D56" i="18" s="1"/>
  <c r="C55" i="18"/>
  <c r="B55" i="18"/>
  <c r="C54" i="18"/>
  <c r="B54" i="18"/>
  <c r="D54" i="18" s="1"/>
  <c r="C53" i="18"/>
  <c r="B53" i="18"/>
  <c r="C52" i="18"/>
  <c r="B52" i="18"/>
  <c r="D52" i="18" s="1"/>
  <c r="C51" i="18"/>
  <c r="B51" i="18"/>
  <c r="C50" i="18"/>
  <c r="B50" i="18"/>
  <c r="C49" i="18"/>
  <c r="B49" i="18"/>
  <c r="C48" i="18"/>
  <c r="B48" i="18"/>
  <c r="D48" i="18" s="1"/>
  <c r="C47" i="18"/>
  <c r="B47" i="18"/>
  <c r="C46" i="18"/>
  <c r="B46" i="18"/>
  <c r="C45" i="18"/>
  <c r="B45" i="18"/>
  <c r="C44" i="18"/>
  <c r="B44" i="18"/>
  <c r="D44" i="18" s="1"/>
  <c r="C43" i="18"/>
  <c r="B43" i="18"/>
  <c r="C42" i="18"/>
  <c r="B42" i="18"/>
  <c r="C41" i="18"/>
  <c r="B41" i="18"/>
  <c r="C40" i="18"/>
  <c r="B40" i="18"/>
  <c r="D40" i="18" s="1"/>
  <c r="C39" i="18"/>
  <c r="B39" i="18"/>
  <c r="C38" i="18"/>
  <c r="B38" i="18"/>
  <c r="D38" i="18" s="1"/>
  <c r="C37" i="18"/>
  <c r="B37" i="18"/>
  <c r="C36" i="18"/>
  <c r="B36" i="18"/>
  <c r="D36" i="18" s="1"/>
  <c r="C35" i="18"/>
  <c r="B35" i="18"/>
  <c r="C34" i="18"/>
  <c r="B34" i="18"/>
  <c r="D34" i="18" s="1"/>
  <c r="C33" i="18"/>
  <c r="B33" i="18"/>
  <c r="C32" i="18"/>
  <c r="B32" i="18"/>
  <c r="D32" i="18" s="1"/>
  <c r="C31" i="18"/>
  <c r="B31" i="18"/>
  <c r="C30" i="18"/>
  <c r="B30" i="18"/>
  <c r="C29" i="18"/>
  <c r="B29" i="18"/>
  <c r="C28" i="18"/>
  <c r="B28" i="18"/>
  <c r="D28" i="18" s="1"/>
  <c r="C27" i="18"/>
  <c r="B27" i="18"/>
  <c r="C26" i="18"/>
  <c r="B26" i="18"/>
  <c r="D26" i="18" s="1"/>
  <c r="C25" i="18"/>
  <c r="B25" i="18"/>
  <c r="C24" i="18"/>
  <c r="B24" i="18"/>
  <c r="D24" i="18" s="1"/>
  <c r="C23" i="18"/>
  <c r="B23" i="18"/>
  <c r="C22" i="18"/>
  <c r="B22" i="18"/>
  <c r="D22" i="18" s="1"/>
  <c r="C21" i="18"/>
  <c r="B21" i="18"/>
  <c r="C20" i="18"/>
  <c r="B20" i="18"/>
  <c r="C19" i="18"/>
  <c r="B19" i="18"/>
  <c r="C18" i="18"/>
  <c r="B18" i="18"/>
  <c r="D18" i="18" s="1"/>
  <c r="C17" i="18"/>
  <c r="B17" i="18"/>
  <c r="C16" i="18"/>
  <c r="B16" i="18"/>
  <c r="D16" i="18" s="1"/>
  <c r="C15" i="18"/>
  <c r="B15" i="18"/>
  <c r="C14" i="18"/>
  <c r="B14" i="18"/>
  <c r="C13" i="18"/>
  <c r="B13" i="18"/>
  <c r="C12" i="18"/>
  <c r="B12" i="18"/>
  <c r="D12" i="18" s="1"/>
  <c r="C11" i="18"/>
  <c r="B11" i="18"/>
  <c r="C10" i="18"/>
  <c r="B10" i="18"/>
  <c r="D10" i="18" s="1"/>
  <c r="C9" i="18"/>
  <c r="B9" i="18"/>
  <c r="C8" i="18"/>
  <c r="B8" i="18"/>
  <c r="D8" i="18" s="1"/>
  <c r="C7" i="18"/>
  <c r="B7" i="18"/>
  <c r="C6" i="18"/>
  <c r="B6" i="18"/>
  <c r="C5" i="18"/>
  <c r="B5" i="18"/>
  <c r="C4" i="18"/>
  <c r="B4" i="18"/>
  <c r="D4" i="18" s="1"/>
  <c r="C3" i="18"/>
  <c r="B3" i="18"/>
  <c r="C2" i="18"/>
  <c r="B2" i="18"/>
  <c r="D2" i="18" s="1"/>
  <c r="I6" i="12" l="1"/>
  <c r="D6" i="18"/>
  <c r="D14" i="18"/>
  <c r="D42" i="18"/>
  <c r="D50" i="18"/>
  <c r="D78" i="18"/>
  <c r="D2" i="16"/>
  <c r="D4" i="16"/>
  <c r="D6" i="16"/>
  <c r="D8" i="16"/>
  <c r="D10" i="16"/>
  <c r="D12" i="16"/>
  <c r="D14" i="16"/>
  <c r="D16" i="16"/>
  <c r="D18" i="16"/>
  <c r="D20" i="16"/>
  <c r="D22" i="16"/>
  <c r="D24" i="16"/>
  <c r="D28" i="16"/>
  <c r="D32" i="16"/>
  <c r="D34" i="16"/>
  <c r="D36" i="16"/>
  <c r="D38" i="16"/>
  <c r="D40" i="16"/>
  <c r="D42" i="16"/>
  <c r="D44" i="16"/>
  <c r="D46" i="16"/>
  <c r="D20" i="18"/>
  <c r="D30" i="18"/>
  <c r="D46" i="18"/>
  <c r="D58" i="18"/>
  <c r="D66" i="18"/>
  <c r="D74" i="18"/>
  <c r="D82" i="18"/>
  <c r="D94" i="18"/>
  <c r="B4" i="15" a="1"/>
  <c r="B4" i="15" s="1"/>
  <c r="I7" i="12"/>
  <c r="D3" i="18"/>
  <c r="D5" i="18"/>
  <c r="D7" i="18"/>
  <c r="D9" i="18"/>
  <c r="D11" i="18"/>
  <c r="D13" i="18"/>
  <c r="D15" i="18"/>
  <c r="D17" i="18"/>
  <c r="D19" i="18"/>
  <c r="D21" i="18"/>
  <c r="D23" i="18"/>
  <c r="D25" i="18"/>
  <c r="D27" i="18"/>
  <c r="D29" i="18"/>
  <c r="D31" i="18"/>
  <c r="D33" i="18"/>
  <c r="D35" i="18"/>
  <c r="D37" i="18"/>
  <c r="D39" i="18"/>
  <c r="D41" i="18"/>
  <c r="D43" i="18"/>
  <c r="D45" i="18"/>
  <c r="D47" i="18"/>
  <c r="D49" i="18"/>
  <c r="D51" i="18"/>
  <c r="D53" i="18"/>
  <c r="D55" i="18"/>
  <c r="D57" i="18"/>
  <c r="D59" i="18"/>
  <c r="D61" i="18"/>
  <c r="D63" i="18"/>
  <c r="D65" i="18"/>
  <c r="D67" i="18"/>
  <c r="D69" i="18"/>
  <c r="D71" i="18"/>
  <c r="D73" i="18"/>
  <c r="D75" i="18"/>
  <c r="D77" i="18"/>
  <c r="D79" i="18"/>
  <c r="D81" i="18"/>
  <c r="D83" i="18"/>
  <c r="D85" i="18"/>
  <c r="D87" i="18"/>
  <c r="D89" i="18"/>
  <c r="D91" i="18"/>
  <c r="D93" i="18"/>
  <c r="D95" i="18"/>
  <c r="D3" i="16"/>
  <c r="D5" i="16"/>
  <c r="D7" i="16"/>
  <c r="D9" i="16"/>
  <c r="D11" i="16"/>
  <c r="D13" i="16"/>
  <c r="D15" i="16"/>
  <c r="D17" i="16"/>
  <c r="D19" i="16"/>
  <c r="D21" i="16"/>
  <c r="D23" i="16"/>
  <c r="D25" i="16"/>
  <c r="D27" i="16"/>
  <c r="D29" i="16"/>
  <c r="D31" i="16"/>
  <c r="D33" i="16"/>
  <c r="D35" i="16"/>
  <c r="D37" i="16"/>
  <c r="D39" i="16"/>
  <c r="D41" i="16"/>
  <c r="D43" i="16"/>
  <c r="D45" i="16"/>
  <c r="D8" i="17"/>
  <c r="D6" i="17" s="1"/>
  <c r="D29" i="17" s="1"/>
  <c r="D21" i="17" s="1"/>
  <c r="D44" i="17" s="1"/>
  <c r="D4" i="17" s="1"/>
  <c r="D27" i="17" s="1"/>
  <c r="D26" i="17" s="1"/>
  <c r="D18" i="17" s="1"/>
  <c r="D24" i="17" s="1"/>
  <c r="D23" i="17" s="1"/>
  <c r="D15" i="17" s="1"/>
  <c r="D7" i="17" s="1"/>
  <c r="D46" i="17" s="1"/>
  <c r="D5" i="17" s="1"/>
  <c r="D36" i="17" s="1"/>
  <c r="D20" i="17" s="1"/>
  <c r="D12" i="17" s="1"/>
  <c r="D10" i="17"/>
  <c r="D14" i="17"/>
  <c r="D16" i="17"/>
  <c r="D22" i="17"/>
  <c r="D28" i="17"/>
  <c r="D30" i="17"/>
  <c r="D32" i="17"/>
  <c r="D34" i="17"/>
  <c r="D38" i="17"/>
  <c r="D40" i="17"/>
  <c r="D4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<sst xmlns="http://schemas.openxmlformats.org/spreadsheetml/2006/main" count="445" uniqueCount="37">
  <si>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</si>
  <si>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</si>
  <si>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</si>
  <si>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</si>
  <si>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</si>
  <si>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</si>
  <si>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</si>
  <si>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</si>
  <si>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</si>
  <si>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</si>
  <si>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Promedio Esperanza de vida</t>
  </si>
  <si>
    <t>Edad/Anio</t>
  </si>
  <si>
    <t>Esperanza de Vida Promedio</t>
  </si>
  <si>
    <t>Esperanza de Vida</t>
  </si>
  <si>
    <t>anio final: 2118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</si>
  <si>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</si>
  <si>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</si>
  <si>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</si>
  <si>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</si>
  <si>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</si>
  <si>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</si>
  <si>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</si>
  <si>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</si>
  <si>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</si>
  <si>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</si>
  <si>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</si>
  <si>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</si>
  <si>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</si>
  <si>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</si>
  <si>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</si>
  <si>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</si>
  <si>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</si>
  <si>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</si>
  <si>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</si>
  <si>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</si>
  <si>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</si>
  <si>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Salario anual por empleado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</si>
</sst>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71" formatCode="0.000000"/>
    <numFmt numFmtId="176" formatCode="[$₡-140A]#,##0.00"/>
    <numFmt numFmtId="190" formatCode="[$₡-140A]#,##0.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u/>
      <sz val="8"/>
      <color theme="1"/>
      <name val="Arial"/>
      <family val="2"/>
    </font>
    <font>
      <sz val="8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5">
    <xf numFmtId="0" fontId="0" fillId="0" borderId="0" xfId="0"/>
    <xf numFmtId="164" fontId="18" fillId="33" borderId="0" xfId="0" applyNumberFormat="1" applyFont="1" applyFill="1" applyAlignment="1">
      <alignment horizontal="left" vertical="center"/>
    </xf>
    <xf numFmtId="165" fontId="19" fillId="34" borderId="10" xfId="0" applyNumberFormat="1" applyFont="1" applyFill="1" applyBorder="1" applyAlignment="1">
      <alignment horizontal="left" vertical="center"/>
    </xf>
    <xf numFmtId="165" fontId="19" fillId="34" borderId="10" xfId="43" applyNumberFormat="1" applyFont="1" applyFill="1" applyBorder="1" applyAlignment="1">
      <alignment horizontal="right" vertical="center"/>
    </xf>
    <xf numFmtId="165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5" fontId="19" fillId="34" borderId="10" xfId="42" applyNumberFormat="1" applyFont="1" applyFill="1" applyBorder="1" applyAlignment="1">
      <alignment horizontal="right" vertical="center"/>
    </xf>
    <xf numFmtId="165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5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4" fontId="18" fillId="33" borderId="0" xfId="0" applyNumberFormat="1" applyFont="1" applyFill="1" applyAlignment="1">
      <alignment vertical="center"/>
    </xf>
    <xf numFmtId="164" fontId="21" fillId="0" borderId="0" xfId="0" applyNumberFormat="1" applyFont="1" applyAlignment="1">
      <alignment horizontal="center" vertical="center"/>
    </xf>
    <xf numFmtId="164" fontId="22" fillId="33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6" borderId="12" xfId="0" applyNumberFormat="1" applyFont="1" applyFill="1" applyBorder="1" applyAlignment="1">
      <alignment horizontal="center" vertical="center" wrapText="1"/>
    </xf>
    <xf numFmtId="164" fontId="18" fillId="36" borderId="13" xfId="0" applyNumberFormat="1" applyFont="1" applyFill="1" applyBorder="1" applyAlignment="1">
      <alignment horizontal="center" vertical="center" wrapText="1"/>
    </xf>
    <xf numFmtId="164" fontId="18" fillId="36" borderId="14" xfId="0" applyNumberFormat="1" applyFont="1" applyFill="1" applyBorder="1" applyAlignment="1">
      <alignment horizontal="center" vertical="center" wrapText="1"/>
    </xf>
    <xf numFmtId="164" fontId="18" fillId="36" borderId="0" xfId="0" applyNumberFormat="1" applyFont="1" applyFill="1" applyAlignment="1">
      <alignment horizontal="center" vertical="center" wrapText="1"/>
    </xf>
    <xf numFmtId="164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left" vertical="center"/>
    </xf>
    <xf numFmtId="164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5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4" fillId="0" borderId="18" xfId="0" applyNumberFormat="1" applyFont="1" applyBorder="1"/>
    <xf numFmtId="1" fontId="20" fillId="0" borderId="18" xfId="0" applyNumberFormat="1" applyFont="1" applyBorder="1"/>
    <xf numFmtId="2" fontId="24" fillId="0" borderId="17" xfId="0" applyNumberFormat="1" applyFont="1" applyBorder="1"/>
    <xf numFmtId="171" fontId="20" fillId="0" borderId="18" xfId="0" applyNumberFormat="1" applyFont="1" applyBorder="1"/>
    <xf numFmtId="171" fontId="24" fillId="0" borderId="17" xfId="0" applyNumberFormat="1" applyFont="1" applyBorder="1"/>
    <xf numFmtId="171" fontId="20" fillId="0" borderId="0" xfId="0" applyNumberFormat="1" applyFont="1"/>
    <xf numFmtId="167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6" borderId="0" xfId="0" applyFont="1" applyFill="1" applyAlignment="1">
      <alignment horizontal="center"/>
    </xf>
    <xf numFmtId="176" fontId="0" fillId="0" borderId="0" xfId="0" applyNumberFormat="1"/>
    <xf numFmtId="171" fontId="22" fillId="36" borderId="15" xfId="0" applyNumberFormat="1" applyFont="1" applyFill="1" applyBorder="1" applyAlignment="1">
      <alignment horizontal="center"/>
    </xf>
    <xf numFmtId="171" fontId="22" fillId="36" borderId="16" xfId="0" applyNumberFormat="1" applyFont="1" applyFill="1" applyBorder="1" applyAlignment="1">
      <alignment horizontal="center"/>
    </xf>
    <xf numFmtId="0" fontId="22" fillId="36" borderId="15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90" fontId="20" fillId="0" borderId="20" xfId="0" applyNumberFormat="1" applyFont="1" applyBorder="1"/>
    <xf numFmtId="176" fontId="20" fillId="0" borderId="19" xfId="0" applyNumberFormat="1" applyFont="1" applyBorder="1"/>
    <xf numFmtId="190" fontId="20" fillId="0" borderId="14" xfId="0" applyNumberFormat="1" applyFont="1" applyBorder="1"/>
    <xf numFmtId="176" fontId="20" fillId="0" borderId="17" xfId="0" applyNumberFormat="1" applyFont="1" applyBorder="1"/>
    <xf numFmtId="190" fontId="20" fillId="0" borderId="21" xfId="0" applyNumberFormat="1" applyFont="1" applyBorder="1"/>
    <xf numFmtId="176" fontId="20" fillId="0" borderId="22" xfId="0" applyNumberFormat="1" applyFont="1" applyBorder="1"/>
    <xf numFmtId="176" fontId="20" fillId="0" borderId="20" xfId="0" applyNumberFormat="1" applyFont="1" applyBorder="1"/>
    <xf numFmtId="176" fontId="20" fillId="0" borderId="14" xfId="0" applyNumberFormat="1" applyFont="1" applyBorder="1"/>
    <xf numFmtId="176" fontId="20" fillId="0" borderId="21" xfId="0" applyNumberFormat="1" applyFont="1" applyBorder="1"/>
    <xf numFmtId="176" fontId="20" fillId="0" borderId="12" xfId="0" applyNumberFormat="1" applyFont="1" applyBorder="1"/>
    <xf numFmtId="176" fontId="20" fillId="0" borderId="18" xfId="0" applyNumberFormat="1" applyFont="1" applyBorder="1"/>
    <xf numFmtId="176" fontId="20" fillId="0" borderId="13" xfId="0" applyNumberFormat="1" applyFont="1" applyBorder="1"/>
    <xf numFmtId="0" fontId="22" fillId="36" borderId="0" xfId="0" applyFont="1" applyFill="1" applyAlignment="1"/>
    <xf numFmtId="176" fontId="23" fillId="0" borderId="0" xfId="0" applyNumberFormat="1" applyFont="1"/>
  </cellXfs>
  <cellStyles count="44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H13" sqref="H13"/>
    </sheetView>
  </sheetViews>
  <sheetFormatPr baseColWidth="10" defaultRowHeight="14.5" x14ac:dyDescent="0.35"/>
  <cols>
    <col min="1" max="1" width="12.54296875" customWidth="1"/>
    <col min="2" max="2" width="16.08984375" customWidth="1"/>
    <col min="3" max="3" width="16.7265625" customWidth="1"/>
  </cols>
  <sheetData>
    <row r="2" spans="2:3" x14ac:dyDescent="0.35">
      <c r="B2" s="37" t="s">
        <v>23</v>
      </c>
      <c r="C2" s="38">
        <v>2025</v>
      </c>
    </row>
    <row r="3" spans="2:3" x14ac:dyDescent="0.35">
      <c r="B3" s="37" t="s">
        <v>24</v>
      </c>
      <c r="C3" s="38">
        <v>2118</v>
      </c>
    </row>
    <row r="4" spans="2:3" ht="21" x14ac:dyDescent="0.35">
      <c r="B4" s="37" t="s">
        <v>25</v>
      </c>
      <c r="C4" s="38">
        <v>65</v>
      </c>
    </row>
    <row r="5" spans="2:3" ht="21" x14ac:dyDescent="0.35">
      <c r="B5" s="37" t="s">
        <v>26</v>
      </c>
      <c r="C5" s="38">
        <v>63</v>
      </c>
    </row>
    <row r="6" spans="2:3" x14ac:dyDescent="0.35">
      <c r="B6" s="39" t="s">
        <v>27</v>
      </c>
      <c r="C6" s="38">
        <v>0.03</v>
      </c>
    </row>
    <row r="7" spans="2:3" ht="23" customHeight="1" x14ac:dyDescent="0.35">
      <c r="B7" s="37" t="s">
        <v>28</v>
      </c>
      <c r="C7" s="38">
        <v>0.02</v>
      </c>
    </row>
    <row r="8" spans="2:3" ht="22.5" customHeight="1" x14ac:dyDescent="0.35">
      <c r="B8" s="37" t="s">
        <v>29</v>
      </c>
      <c r="C8" s="38">
        <v>6.5000000000000002E-2</v>
      </c>
    </row>
    <row r="9" spans="2:3" x14ac:dyDescent="0.35">
      <c r="B9" s="37" t="s">
        <v>30</v>
      </c>
      <c r="C9" s="40">
        <v>46022</v>
      </c>
    </row>
    <row r="10" spans="2:3" x14ac:dyDescent="0.35">
      <c r="B10" s="3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topLeftCell="D1" workbookViewId="0">
      <selection activeCell="I1" sqref="I1:J1048576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1796875" bestFit="1" customWidth="1"/>
    <col min="6" max="6" width="14.1796875" bestFit="1" customWidth="1"/>
    <col min="7" max="7" width="21.453125" bestFit="1" customWidth="1"/>
  </cols>
  <sheetData>
    <row r="1" spans="1:106" x14ac:dyDescent="0.35">
      <c r="A1" s="1" t="s">
        <v>1</v>
      </c>
      <c r="B1" s="23" t="s">
        <v>2</v>
      </c>
      <c r="C1" s="24" t="s">
        <v>3</v>
      </c>
      <c r="D1" s="25" t="s">
        <v>4</v>
      </c>
      <c r="E1" s="25" t="s">
        <v>9</v>
      </c>
      <c r="F1" s="25" t="s">
        <v>0</v>
      </c>
      <c r="I1" s="51"/>
      <c r="J1" s="51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3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5" t="s">
        <v>12</v>
      </c>
      <c r="I2" s="73"/>
      <c r="J2" s="73"/>
    </row>
    <row r="3" spans="1:106" x14ac:dyDescent="0.3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6">
        <f>AVERAGE(E2:E166)</f>
        <v>15.938510251404161</v>
      </c>
      <c r="I3" s="73"/>
      <c r="J3" s="73"/>
    </row>
    <row r="4" spans="1:106" x14ac:dyDescent="0.3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4"/>
      <c r="I4" s="73"/>
      <c r="J4" s="73"/>
    </row>
    <row r="5" spans="1:106" x14ac:dyDescent="0.3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4"/>
      <c r="I5" s="73"/>
      <c r="J5" s="73"/>
    </row>
    <row r="6" spans="1:106" x14ac:dyDescent="0.3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4"/>
      <c r="I6" s="73"/>
      <c r="J6" s="73"/>
    </row>
    <row r="7" spans="1:106" x14ac:dyDescent="0.3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4"/>
      <c r="I7" s="73"/>
      <c r="J7" s="73"/>
    </row>
    <row r="8" spans="1:106" x14ac:dyDescent="0.3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4"/>
      <c r="I8" s="73"/>
      <c r="J8" s="73"/>
    </row>
    <row r="9" spans="1:106" x14ac:dyDescent="0.3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4"/>
      <c r="I9" s="73"/>
      <c r="J9" s="73"/>
    </row>
    <row r="10" spans="1:106" x14ac:dyDescent="0.3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4"/>
      <c r="I10" s="73"/>
      <c r="J10" s="73"/>
    </row>
    <row r="11" spans="1:106" x14ac:dyDescent="0.3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4"/>
      <c r="I11" s="73"/>
      <c r="J11" s="73"/>
    </row>
    <row r="12" spans="1:106" x14ac:dyDescent="0.3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4"/>
      <c r="I12" s="73"/>
      <c r="J12" s="73"/>
    </row>
    <row r="13" spans="1:106" x14ac:dyDescent="0.3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4"/>
      <c r="I13" s="73"/>
      <c r="J13" s="73"/>
    </row>
    <row r="14" spans="1:106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4"/>
      <c r="I14" s="73"/>
      <c r="J14" s="73"/>
    </row>
    <row r="15" spans="1:106" x14ac:dyDescent="0.3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4"/>
      <c r="I15" s="73"/>
      <c r="J15" s="73"/>
    </row>
    <row r="16" spans="1:106" x14ac:dyDescent="0.3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4"/>
      <c r="I16" s="73"/>
      <c r="J16" s="73"/>
    </row>
    <row r="17" spans="1:10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4"/>
      <c r="I17" s="73"/>
      <c r="J17" s="73"/>
    </row>
    <row r="18" spans="1:10" x14ac:dyDescent="0.3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4"/>
      <c r="I18" s="73"/>
      <c r="J18" s="73"/>
    </row>
    <row r="19" spans="1:10" x14ac:dyDescent="0.3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4"/>
      <c r="I19" s="73"/>
      <c r="J19" s="73"/>
    </row>
    <row r="20" spans="1:10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4"/>
      <c r="I20" s="73"/>
      <c r="J20" s="73"/>
    </row>
    <row r="21" spans="1:10" x14ac:dyDescent="0.3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4"/>
      <c r="I21" s="73"/>
      <c r="J21" s="73"/>
    </row>
    <row r="22" spans="1:10" x14ac:dyDescent="0.3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4"/>
      <c r="I22" s="73"/>
      <c r="J22" s="73"/>
    </row>
    <row r="23" spans="1:10" x14ac:dyDescent="0.3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4"/>
      <c r="I23" s="73"/>
      <c r="J23" s="73"/>
    </row>
    <row r="24" spans="1:10" x14ac:dyDescent="0.3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4"/>
      <c r="I24" s="73"/>
      <c r="J24" s="73"/>
    </row>
    <row r="25" spans="1:10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4"/>
      <c r="I25" s="73"/>
      <c r="J25" s="73"/>
    </row>
    <row r="26" spans="1:10" x14ac:dyDescent="0.3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4"/>
      <c r="I26" s="73"/>
      <c r="J26" s="73"/>
    </row>
    <row r="27" spans="1:10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4"/>
      <c r="I27" s="73"/>
      <c r="J27" s="73"/>
    </row>
    <row r="28" spans="1:10" x14ac:dyDescent="0.3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4"/>
      <c r="I28" s="73"/>
      <c r="J28" s="73"/>
    </row>
    <row r="29" spans="1:10" x14ac:dyDescent="0.3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4"/>
      <c r="I29" s="73"/>
      <c r="J29" s="73"/>
    </row>
    <row r="30" spans="1:10" x14ac:dyDescent="0.3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4"/>
      <c r="I30" s="73"/>
      <c r="J30" s="73"/>
    </row>
    <row r="31" spans="1:10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4"/>
      <c r="I31" s="73"/>
      <c r="J31" s="73"/>
    </row>
    <row r="32" spans="1:10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4"/>
      <c r="I32" s="73"/>
      <c r="J32" s="73"/>
    </row>
    <row r="33" spans="1:10" x14ac:dyDescent="0.3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4"/>
      <c r="I33" s="73"/>
      <c r="J33" s="73"/>
    </row>
    <row r="34" spans="1:10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4"/>
      <c r="I34" s="73"/>
      <c r="J34" s="73"/>
    </row>
    <row r="35" spans="1:10" x14ac:dyDescent="0.3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4"/>
      <c r="I35" s="73"/>
      <c r="J35" s="73"/>
    </row>
    <row r="36" spans="1:10" x14ac:dyDescent="0.3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4"/>
      <c r="I36" s="73"/>
      <c r="J36" s="73"/>
    </row>
    <row r="37" spans="1:10" x14ac:dyDescent="0.3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4"/>
      <c r="I37" s="73"/>
      <c r="J37" s="73"/>
    </row>
    <row r="38" spans="1:10" x14ac:dyDescent="0.3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4"/>
      <c r="I38" s="73"/>
      <c r="J38" s="73"/>
    </row>
    <row r="39" spans="1:10" x14ac:dyDescent="0.3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4"/>
      <c r="I39" s="73"/>
      <c r="J39" s="73"/>
    </row>
    <row r="40" spans="1:10" x14ac:dyDescent="0.3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4"/>
      <c r="I40" s="73"/>
      <c r="J40" s="73"/>
    </row>
    <row r="41" spans="1:10" x14ac:dyDescent="0.3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4"/>
      <c r="I41" s="73"/>
      <c r="J41" s="73"/>
    </row>
    <row r="42" spans="1:10" x14ac:dyDescent="0.3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4"/>
      <c r="I42" s="73"/>
      <c r="J42" s="73"/>
    </row>
    <row r="43" spans="1:10" x14ac:dyDescent="0.3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4"/>
      <c r="I43" s="73"/>
      <c r="J43" s="73"/>
    </row>
    <row r="44" spans="1:10" x14ac:dyDescent="0.3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4"/>
      <c r="I44" s="73"/>
      <c r="J44" s="73"/>
    </row>
    <row r="45" spans="1:10" x14ac:dyDescent="0.3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4"/>
      <c r="I45" s="73"/>
      <c r="J45" s="73"/>
    </row>
    <row r="46" spans="1:10" x14ac:dyDescent="0.3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4"/>
      <c r="I46" s="73"/>
      <c r="J46" s="73"/>
    </row>
    <row r="47" spans="1:10" x14ac:dyDescent="0.3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4"/>
      <c r="I47" s="73"/>
      <c r="J47" s="73"/>
    </row>
    <row r="48" spans="1:10" x14ac:dyDescent="0.3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4"/>
      <c r="I48" s="73"/>
      <c r="J48" s="73"/>
    </row>
    <row r="49" spans="1:10" x14ac:dyDescent="0.3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4"/>
      <c r="I49" s="73"/>
      <c r="J49" s="73"/>
    </row>
    <row r="50" spans="1:10" x14ac:dyDescent="0.3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4"/>
      <c r="I50" s="73"/>
      <c r="J50" s="73"/>
    </row>
    <row r="51" spans="1:10" x14ac:dyDescent="0.3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4"/>
      <c r="I51" s="73"/>
      <c r="J51" s="73"/>
    </row>
    <row r="52" spans="1:10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4"/>
      <c r="I52" s="73"/>
      <c r="J52" s="73"/>
    </row>
    <row r="53" spans="1:10" x14ac:dyDescent="0.3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4"/>
      <c r="I53" s="73"/>
      <c r="J53" s="73"/>
    </row>
    <row r="54" spans="1:10" x14ac:dyDescent="0.3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4"/>
      <c r="I54" s="73"/>
      <c r="J54" s="73"/>
    </row>
    <row r="55" spans="1:10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4"/>
      <c r="I55" s="73"/>
      <c r="J55" s="73"/>
    </row>
    <row r="56" spans="1:10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4"/>
      <c r="I56" s="73"/>
      <c r="J56" s="73"/>
    </row>
    <row r="57" spans="1:10" x14ac:dyDescent="0.3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4"/>
      <c r="I57" s="73"/>
      <c r="J57" s="73"/>
    </row>
    <row r="58" spans="1:10" x14ac:dyDescent="0.3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4"/>
      <c r="I58" s="73"/>
      <c r="J58" s="73"/>
    </row>
    <row r="59" spans="1:10" x14ac:dyDescent="0.3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4"/>
      <c r="I59" s="73"/>
      <c r="J59" s="73"/>
    </row>
    <row r="60" spans="1:10" x14ac:dyDescent="0.3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4"/>
      <c r="I60" s="73"/>
      <c r="J60" s="73"/>
    </row>
    <row r="61" spans="1:10" x14ac:dyDescent="0.3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4"/>
      <c r="I61" s="73"/>
      <c r="J61" s="73"/>
    </row>
    <row r="62" spans="1:10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4"/>
      <c r="I62" s="73"/>
      <c r="J62" s="73"/>
    </row>
    <row r="63" spans="1:10" x14ac:dyDescent="0.3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4"/>
      <c r="I63" s="73"/>
      <c r="J63" s="73"/>
    </row>
    <row r="64" spans="1:10" x14ac:dyDescent="0.3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4"/>
      <c r="I64" s="73"/>
      <c r="J64" s="73"/>
    </row>
    <row r="65" spans="1:10" x14ac:dyDescent="0.3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4"/>
      <c r="I65" s="73"/>
      <c r="J65" s="73"/>
    </row>
    <row r="66" spans="1:10" x14ac:dyDescent="0.3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4"/>
      <c r="I66" s="73"/>
      <c r="J66" s="73"/>
    </row>
    <row r="67" spans="1:10" x14ac:dyDescent="0.3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4"/>
      <c r="I67" s="73"/>
      <c r="J67" s="73"/>
    </row>
    <row r="68" spans="1:10" x14ac:dyDescent="0.3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4"/>
      <c r="I68" s="73"/>
      <c r="J68" s="73"/>
    </row>
    <row r="69" spans="1:10" x14ac:dyDescent="0.3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4"/>
      <c r="I69" s="73"/>
      <c r="J69" s="73"/>
    </row>
    <row r="70" spans="1:10" x14ac:dyDescent="0.3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4"/>
      <c r="I70" s="73"/>
      <c r="J70" s="73"/>
    </row>
    <row r="71" spans="1:10" x14ac:dyDescent="0.3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4"/>
      <c r="I71" s="73"/>
      <c r="J71" s="73"/>
    </row>
    <row r="72" spans="1:10" x14ac:dyDescent="0.3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4"/>
      <c r="I72" s="73"/>
      <c r="J72" s="73"/>
    </row>
    <row r="73" spans="1:10" x14ac:dyDescent="0.3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4"/>
      <c r="I73" s="73"/>
      <c r="J73" s="73"/>
    </row>
    <row r="74" spans="1:10" x14ac:dyDescent="0.3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4"/>
      <c r="I74" s="73"/>
      <c r="J74" s="73"/>
    </row>
    <row r="75" spans="1:10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4"/>
      <c r="I75" s="73"/>
      <c r="J75" s="73"/>
    </row>
    <row r="76" spans="1:10" x14ac:dyDescent="0.3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4"/>
      <c r="I76" s="73"/>
      <c r="J76" s="73"/>
    </row>
    <row r="77" spans="1:10" x14ac:dyDescent="0.3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4"/>
      <c r="I77" s="73"/>
      <c r="J77" s="73"/>
    </row>
    <row r="78" spans="1:10" x14ac:dyDescent="0.3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4"/>
      <c r="I78" s="73"/>
      <c r="J78" s="73"/>
    </row>
    <row r="79" spans="1:10" x14ac:dyDescent="0.3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4"/>
      <c r="I79" s="73"/>
      <c r="J79" s="73"/>
    </row>
    <row r="80" spans="1:10" x14ac:dyDescent="0.3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4"/>
      <c r="I80" s="73"/>
      <c r="J80" s="73"/>
    </row>
    <row r="81" spans="1:10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4"/>
      <c r="I81" s="73"/>
      <c r="J81" s="73"/>
    </row>
    <row r="82" spans="1:10" x14ac:dyDescent="0.3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4"/>
      <c r="I82" s="73"/>
      <c r="J82" s="73"/>
    </row>
    <row r="83" spans="1:10" x14ac:dyDescent="0.3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4"/>
      <c r="I83" s="73"/>
      <c r="J83" s="73"/>
    </row>
    <row r="84" spans="1:10" x14ac:dyDescent="0.3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4"/>
      <c r="I84" s="73"/>
      <c r="J84" s="73"/>
    </row>
    <row r="85" spans="1:10" x14ac:dyDescent="0.3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4"/>
      <c r="I85" s="73"/>
      <c r="J85" s="73"/>
    </row>
    <row r="86" spans="1:10" x14ac:dyDescent="0.3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4"/>
      <c r="I86" s="73"/>
      <c r="J86" s="73"/>
    </row>
    <row r="87" spans="1:10" x14ac:dyDescent="0.3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4"/>
      <c r="I87" s="73"/>
      <c r="J87" s="73"/>
    </row>
    <row r="88" spans="1:10" x14ac:dyDescent="0.3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4"/>
      <c r="I88" s="73"/>
      <c r="J88" s="73"/>
    </row>
    <row r="89" spans="1:10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4"/>
      <c r="I89" s="73"/>
      <c r="J89" s="73"/>
    </row>
    <row r="90" spans="1:10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4"/>
      <c r="I90" s="73"/>
      <c r="J90" s="73"/>
    </row>
    <row r="91" spans="1:10" x14ac:dyDescent="0.3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4"/>
      <c r="I91" s="73"/>
      <c r="J91" s="73"/>
    </row>
    <row r="92" spans="1:10" x14ac:dyDescent="0.3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4"/>
      <c r="I92" s="73"/>
      <c r="J92" s="73"/>
    </row>
    <row r="93" spans="1:10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4"/>
      <c r="I93" s="73"/>
      <c r="J93" s="73"/>
    </row>
    <row r="94" spans="1:10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4"/>
      <c r="I94" s="73"/>
      <c r="J94" s="73"/>
    </row>
    <row r="95" spans="1:10" x14ac:dyDescent="0.3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4"/>
      <c r="I95" s="73"/>
      <c r="J95" s="73"/>
    </row>
    <row r="96" spans="1:10" x14ac:dyDescent="0.3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4"/>
      <c r="I96" s="73"/>
      <c r="J96" s="73"/>
    </row>
    <row r="97" spans="1:10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4"/>
      <c r="I97" s="73"/>
      <c r="J97" s="73"/>
    </row>
    <row r="98" spans="1:10" x14ac:dyDescent="0.3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4"/>
      <c r="I98" s="73"/>
      <c r="J98" s="73"/>
    </row>
    <row r="99" spans="1:10" x14ac:dyDescent="0.3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4"/>
      <c r="I99" s="73"/>
      <c r="J99" s="73"/>
    </row>
    <row r="100" spans="1:10" x14ac:dyDescent="0.3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4"/>
      <c r="I100" s="73"/>
      <c r="J100" s="73"/>
    </row>
    <row r="101" spans="1:10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4"/>
      <c r="I101" s="73"/>
      <c r="J101" s="73"/>
    </row>
    <row r="102" spans="1:10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4"/>
      <c r="I102" s="73"/>
      <c r="J102" s="73"/>
    </row>
    <row r="103" spans="1:10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4"/>
      <c r="I103" s="73"/>
      <c r="J103" s="73"/>
    </row>
    <row r="104" spans="1:10" x14ac:dyDescent="0.3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4"/>
      <c r="I104" s="73"/>
      <c r="J104" s="73"/>
    </row>
    <row r="105" spans="1:10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4"/>
      <c r="I105" s="73"/>
      <c r="J105" s="73"/>
    </row>
    <row r="106" spans="1:10" x14ac:dyDescent="0.3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4"/>
      <c r="I106" s="73"/>
      <c r="J106" s="73"/>
    </row>
    <row r="107" spans="1:10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4"/>
      <c r="I107" s="73"/>
      <c r="J107" s="73"/>
    </row>
    <row r="108" spans="1:10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4"/>
      <c r="I108" s="73"/>
      <c r="J108" s="73"/>
    </row>
    <row r="109" spans="1:10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4"/>
      <c r="I109" s="73"/>
      <c r="J109" s="73"/>
    </row>
    <row r="110" spans="1:10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4"/>
      <c r="I110" s="73"/>
      <c r="J110" s="73"/>
    </row>
    <row r="111" spans="1:10" x14ac:dyDescent="0.3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4"/>
      <c r="I111" s="73"/>
      <c r="J111" s="73"/>
    </row>
    <row r="112" spans="1:10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4"/>
      <c r="I112" s="73"/>
      <c r="J112" s="73"/>
    </row>
    <row r="113" spans="1:10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4"/>
      <c r="I113" s="73"/>
      <c r="J113" s="73"/>
    </row>
    <row r="114" spans="1:10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4"/>
      <c r="I114" s="73"/>
      <c r="J114" s="73"/>
    </row>
    <row r="115" spans="1:10" x14ac:dyDescent="0.3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4"/>
      <c r="I115" s="73"/>
      <c r="J115" s="73"/>
    </row>
    <row r="116" spans="1:10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4"/>
      <c r="I116" s="73"/>
      <c r="J116" s="73"/>
    </row>
    <row r="117" spans="1:10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4"/>
      <c r="I117" s="73"/>
      <c r="J117" s="73"/>
    </row>
    <row r="118" spans="1:10" x14ac:dyDescent="0.3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4"/>
      <c r="I118" s="73"/>
      <c r="J118" s="73"/>
    </row>
    <row r="119" spans="1:10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4"/>
      <c r="I119" s="73"/>
      <c r="J119" s="73"/>
    </row>
    <row r="120" spans="1:10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4"/>
      <c r="I120" s="73"/>
      <c r="J120" s="73"/>
    </row>
    <row r="121" spans="1:10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4"/>
      <c r="I121" s="73"/>
      <c r="J121" s="73"/>
    </row>
    <row r="122" spans="1:10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4"/>
      <c r="I122" s="73"/>
      <c r="J122" s="73"/>
    </row>
    <row r="123" spans="1:10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4"/>
      <c r="I123" s="73"/>
      <c r="J123" s="73"/>
    </row>
    <row r="124" spans="1:10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4"/>
      <c r="I124" s="73"/>
      <c r="J124" s="73"/>
    </row>
    <row r="125" spans="1:10" x14ac:dyDescent="0.3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4"/>
      <c r="I125" s="73"/>
      <c r="J125" s="73"/>
    </row>
    <row r="126" spans="1:10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4"/>
      <c r="I126" s="73"/>
      <c r="J126" s="73"/>
    </row>
    <row r="127" spans="1:10" x14ac:dyDescent="0.3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4"/>
      <c r="I127" s="73"/>
      <c r="J127" s="73"/>
    </row>
    <row r="128" spans="1:10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4"/>
      <c r="I128" s="73"/>
      <c r="J128" s="73"/>
    </row>
    <row r="129" spans="1:10" x14ac:dyDescent="0.3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4"/>
      <c r="I129" s="73"/>
      <c r="J129" s="73"/>
    </row>
    <row r="130" spans="1:10" x14ac:dyDescent="0.3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4"/>
      <c r="I130" s="73"/>
      <c r="J130" s="73"/>
    </row>
    <row r="131" spans="1:10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4"/>
      <c r="I131" s="73"/>
      <c r="J131" s="73"/>
    </row>
    <row r="132" spans="1:10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4"/>
      <c r="I132" s="73"/>
      <c r="J132" s="73"/>
    </row>
    <row r="133" spans="1:10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4"/>
      <c r="I133" s="73"/>
      <c r="J133" s="73"/>
    </row>
    <row r="134" spans="1:10" x14ac:dyDescent="0.3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4"/>
      <c r="I134" s="73"/>
      <c r="J134" s="73"/>
    </row>
    <row r="135" spans="1:10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4"/>
      <c r="I135" s="73"/>
      <c r="J135" s="73"/>
    </row>
    <row r="136" spans="1:10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4"/>
      <c r="I136" s="73"/>
      <c r="J136" s="73"/>
    </row>
    <row r="137" spans="1:10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4"/>
      <c r="I137" s="73"/>
      <c r="J137" s="73"/>
    </row>
    <row r="138" spans="1:10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4"/>
      <c r="I138" s="73"/>
      <c r="J138" s="73"/>
    </row>
    <row r="139" spans="1:10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4"/>
      <c r="I139" s="73"/>
      <c r="J139" s="73"/>
    </row>
    <row r="140" spans="1:10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4"/>
      <c r="I140" s="73"/>
      <c r="J140" s="73"/>
    </row>
    <row r="141" spans="1:10" x14ac:dyDescent="0.3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4"/>
      <c r="I141" s="73"/>
      <c r="J141" s="73"/>
    </row>
    <row r="142" spans="1:10" x14ac:dyDescent="0.3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4"/>
      <c r="I142" s="73"/>
      <c r="J142" s="73"/>
    </row>
    <row r="143" spans="1:10" x14ac:dyDescent="0.3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4"/>
      <c r="I143" s="73"/>
      <c r="J143" s="73"/>
    </row>
    <row r="144" spans="1:10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4"/>
      <c r="I144" s="73"/>
      <c r="J144" s="73"/>
    </row>
    <row r="145" spans="1:10" x14ac:dyDescent="0.3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4"/>
      <c r="I145" s="73"/>
      <c r="J145" s="73"/>
    </row>
    <row r="146" spans="1:10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4"/>
      <c r="I146" s="73"/>
      <c r="J146" s="73"/>
    </row>
    <row r="147" spans="1:10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4"/>
      <c r="I147" s="73"/>
      <c r="J147" s="73"/>
    </row>
    <row r="148" spans="1:10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4"/>
      <c r="I148" s="73"/>
      <c r="J148" s="73"/>
    </row>
    <row r="149" spans="1:10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4"/>
      <c r="I149" s="73"/>
      <c r="J149" s="73"/>
    </row>
    <row r="150" spans="1:10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4"/>
      <c r="I150" s="73"/>
      <c r="J150" s="73"/>
    </row>
    <row r="151" spans="1:10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4"/>
      <c r="I151" s="73"/>
      <c r="J151" s="73"/>
    </row>
    <row r="152" spans="1:10" x14ac:dyDescent="0.3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4"/>
      <c r="I152" s="73"/>
      <c r="J152" s="73"/>
    </row>
    <row r="153" spans="1:10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4"/>
      <c r="I153" s="73"/>
      <c r="J153" s="73"/>
    </row>
    <row r="154" spans="1:10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4"/>
      <c r="I154" s="73"/>
      <c r="J154" s="73"/>
    </row>
    <row r="155" spans="1:10" x14ac:dyDescent="0.3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4"/>
      <c r="I155" s="73"/>
      <c r="J155" s="73"/>
    </row>
    <row r="156" spans="1:10" x14ac:dyDescent="0.3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4"/>
      <c r="I156" s="73"/>
      <c r="J156" s="73"/>
    </row>
    <row r="157" spans="1:10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4"/>
      <c r="I157" s="73"/>
      <c r="J157" s="73"/>
    </row>
    <row r="158" spans="1:10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4"/>
      <c r="I158" s="73"/>
      <c r="J158" s="73"/>
    </row>
    <row r="159" spans="1:10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4"/>
      <c r="I159" s="73"/>
      <c r="J159" s="73"/>
    </row>
    <row r="160" spans="1:10" x14ac:dyDescent="0.3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4"/>
      <c r="I160" s="73"/>
      <c r="J160" s="73"/>
    </row>
    <row r="161" spans="1:10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4"/>
      <c r="I161" s="73"/>
      <c r="J161" s="73"/>
    </row>
    <row r="162" spans="1:10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4"/>
      <c r="I162" s="73"/>
      <c r="J162" s="73"/>
    </row>
    <row r="163" spans="1:10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4"/>
      <c r="I163" s="73"/>
      <c r="J163" s="73"/>
    </row>
    <row r="164" spans="1:10" x14ac:dyDescent="0.3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4"/>
      <c r="I164" s="73"/>
      <c r="J164" s="73"/>
    </row>
    <row r="165" spans="1:10" x14ac:dyDescent="0.3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4"/>
      <c r="I165" s="73"/>
      <c r="J165" s="73"/>
    </row>
    <row r="166" spans="1:10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4"/>
      <c r="I166" s="73"/>
      <c r="J166" s="73"/>
    </row>
    <row r="167" spans="1:10" x14ac:dyDescent="0.35">
      <c r="G167" s="14"/>
    </row>
    <row r="168" spans="1:10" x14ac:dyDescent="0.35">
      <c r="G168" s="14"/>
    </row>
    <row r="169" spans="1:10" x14ac:dyDescent="0.35">
      <c r="G169" s="14"/>
    </row>
    <row r="170" spans="1:10" x14ac:dyDescent="0.35">
      <c r="G170" s="14"/>
    </row>
    <row r="171" spans="1:10" x14ac:dyDescent="0.35">
      <c r="G171" s="14"/>
    </row>
    <row r="172" spans="1:10" x14ac:dyDescent="0.35">
      <c r="G172" s="14"/>
    </row>
    <row r="173" spans="1:10" x14ac:dyDescent="0.35">
      <c r="G173" s="14"/>
    </row>
    <row r="174" spans="1:10" x14ac:dyDescent="0.35">
      <c r="G174" s="14"/>
    </row>
    <row r="175" spans="1:10" x14ac:dyDescent="0.35">
      <c r="G175" s="14"/>
    </row>
    <row r="176" spans="1:10" x14ac:dyDescent="0.35">
      <c r="G176" s="14"/>
    </row>
    <row r="177" spans="7:7" x14ac:dyDescent="0.35">
      <c r="G177" s="14"/>
    </row>
    <row r="178" spans="7:7" x14ac:dyDescent="0.35">
      <c r="G178" s="14"/>
    </row>
    <row r="179" spans="7:7" x14ac:dyDescent="0.35">
      <c r="G179" s="14"/>
    </row>
    <row r="180" spans="7:7" x14ac:dyDescent="0.35">
      <c r="G180" s="14"/>
    </row>
    <row r="181" spans="7:7" x14ac:dyDescent="0.35">
      <c r="G181" s="14"/>
    </row>
    <row r="182" spans="7:7" x14ac:dyDescent="0.35">
      <c r="G182" s="14"/>
    </row>
    <row r="183" spans="7:7" x14ac:dyDescent="0.35">
      <c r="G183" s="14"/>
    </row>
    <row r="184" spans="7:7" x14ac:dyDescent="0.35">
      <c r="G184" s="14"/>
    </row>
    <row r="185" spans="7:7" x14ac:dyDescent="0.35">
      <c r="G185" s="14"/>
    </row>
    <row r="186" spans="7:7" x14ac:dyDescent="0.35">
      <c r="G186" s="14"/>
    </row>
    <row r="187" spans="7:7" x14ac:dyDescent="0.35">
      <c r="G187" s="14"/>
    </row>
    <row r="188" spans="7:7" x14ac:dyDescent="0.35">
      <c r="G188" s="14"/>
    </row>
    <row r="189" spans="7:7" x14ac:dyDescent="0.35">
      <c r="G189" s="14"/>
    </row>
    <row r="190" spans="7:7" x14ac:dyDescent="0.35">
      <c r="G190" s="14"/>
    </row>
    <row r="191" spans="7:7" x14ac:dyDescent="0.35">
      <c r="G191" s="14"/>
    </row>
    <row r="192" spans="7:7" x14ac:dyDescent="0.35">
      <c r="G192" s="14"/>
    </row>
    <row r="193" spans="7:7" x14ac:dyDescent="0.35">
      <c r="G193" s="14"/>
    </row>
    <row r="194" spans="7:7" x14ac:dyDescent="0.35">
      <c r="G194" s="14"/>
    </row>
    <row r="195" spans="7:7" x14ac:dyDescent="0.35">
      <c r="G195" s="14"/>
    </row>
    <row r="196" spans="7:7" x14ac:dyDescent="0.35">
      <c r="G196" s="14"/>
    </row>
    <row r="197" spans="7:7" x14ac:dyDescent="0.35">
      <c r="G197" s="14"/>
    </row>
    <row r="198" spans="7:7" x14ac:dyDescent="0.35">
      <c r="G198" s="14"/>
    </row>
    <row r="199" spans="7:7" x14ac:dyDescent="0.35">
      <c r="G199" s="14"/>
    </row>
    <row r="200" spans="7:7" x14ac:dyDescent="0.35">
      <c r="G200" s="14"/>
    </row>
    <row r="201" spans="7:7" x14ac:dyDescent="0.35">
      <c r="G201" s="14"/>
    </row>
    <row r="202" spans="7:7" x14ac:dyDescent="0.35">
      <c r="G202" s="14"/>
    </row>
    <row r="203" spans="7:7" x14ac:dyDescent="0.35">
      <c r="G203" s="14"/>
    </row>
    <row r="204" spans="7:7" x14ac:dyDescent="0.35">
      <c r="G204" s="14"/>
    </row>
    <row r="205" spans="7:7" x14ac:dyDescent="0.35">
      <c r="G205" s="14"/>
    </row>
    <row r="206" spans="7:7" x14ac:dyDescent="0.35">
      <c r="G206" s="14"/>
    </row>
    <row r="207" spans="7:7" x14ac:dyDescent="0.35">
      <c r="G207" s="14"/>
    </row>
    <row r="208" spans="7:7" x14ac:dyDescent="0.35">
      <c r="G208" s="14"/>
    </row>
    <row r="209" spans="7:7" x14ac:dyDescent="0.35">
      <c r="G209" s="14"/>
    </row>
    <row r="210" spans="7:7" x14ac:dyDescent="0.35">
      <c r="G210" s="14"/>
    </row>
    <row r="211" spans="7:7" x14ac:dyDescent="0.35">
      <c r="G211" s="14"/>
    </row>
    <row r="212" spans="7:7" x14ac:dyDescent="0.35">
      <c r="G212" s="14"/>
    </row>
    <row r="213" spans="7:7" x14ac:dyDescent="0.35">
      <c r="G213" s="14"/>
    </row>
    <row r="214" spans="7:7" x14ac:dyDescent="0.35">
      <c r="G214" s="14"/>
    </row>
    <row r="215" spans="7:7" x14ac:dyDescent="0.35">
      <c r="G215" s="14"/>
    </row>
    <row r="216" spans="7:7" x14ac:dyDescent="0.35">
      <c r="G216" s="14"/>
    </row>
    <row r="217" spans="7:7" x14ac:dyDescent="0.35">
      <c r="G217" s="14"/>
    </row>
    <row r="218" spans="7:7" x14ac:dyDescent="0.35">
      <c r="G218" s="14"/>
    </row>
    <row r="219" spans="7:7" x14ac:dyDescent="0.35">
      <c r="G219" s="14"/>
    </row>
    <row r="220" spans="7:7" x14ac:dyDescent="0.35">
      <c r="G220" s="14"/>
    </row>
    <row r="221" spans="7:7" x14ac:dyDescent="0.35">
      <c r="G221" s="14"/>
    </row>
    <row r="222" spans="7:7" x14ac:dyDescent="0.35">
      <c r="G222" s="14"/>
    </row>
    <row r="223" spans="7:7" x14ac:dyDescent="0.35">
      <c r="G223" s="14"/>
    </row>
    <row r="224" spans="7:7" x14ac:dyDescent="0.35">
      <c r="G224" s="14"/>
    </row>
    <row r="225" spans="7:7" x14ac:dyDescent="0.35">
      <c r="G225" s="14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25"/>
  <sheetViews>
    <sheetView tabSelected="1" topLeftCell="B1" workbookViewId="0">
      <selection activeCell="M4" sqref="M4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  <col min="10" max="10" width="7.26953125" customWidth="1"/>
    <col min="11" max="11" width="20.1796875" customWidth="1"/>
    <col min="12" max="107" width="10.90625" style="52"/>
  </cols>
  <sheetData>
    <row r="1" spans="1:107" x14ac:dyDescent="0.35">
      <c r="A1" s="26" t="s">
        <v>1</v>
      </c>
      <c r="B1" s="27" t="s">
        <v>7</v>
      </c>
      <c r="C1" s="28" t="s">
        <v>8</v>
      </c>
      <c r="D1" s="25" t="s">
        <v>2</v>
      </c>
      <c r="E1" s="28" t="s">
        <v>3</v>
      </c>
      <c r="F1" s="28" t="s">
        <v>13</v>
      </c>
      <c r="G1" s="28" t="s">
        <v>0</v>
      </c>
      <c r="K1" s="36" t="s">
        <v>36</v>
      </c>
      <c r="L1" s="12">
        <v>2025</v>
      </c>
      <c r="M1" s="12">
        <v>2026</v>
      </c>
      <c r="N1" s="12">
        <v>2027</v>
      </c>
      <c r="O1" s="12">
        <v>2028</v>
      </c>
      <c r="P1" s="12">
        <v>2029</v>
      </c>
      <c r="Q1" s="12">
        <v>2030</v>
      </c>
      <c r="R1" s="12">
        <v>2031</v>
      </c>
      <c r="S1" s="12">
        <v>2032</v>
      </c>
      <c r="T1" s="12">
        <v>2033</v>
      </c>
      <c r="U1" s="12">
        <v>2034</v>
      </c>
      <c r="V1" s="12">
        <v>2035</v>
      </c>
      <c r="W1" s="12">
        <v>2036</v>
      </c>
      <c r="X1" s="12">
        <v>2037</v>
      </c>
      <c r="Y1" s="12">
        <v>2038</v>
      </c>
      <c r="Z1" s="12">
        <v>2039</v>
      </c>
      <c r="AA1" s="12">
        <v>2040</v>
      </c>
      <c r="AB1" s="12">
        <v>2041</v>
      </c>
      <c r="AC1" s="12">
        <v>2042</v>
      </c>
      <c r="AD1" s="12">
        <v>2043</v>
      </c>
      <c r="AE1" s="12">
        <v>2044</v>
      </c>
      <c r="AF1" s="12">
        <v>2045</v>
      </c>
      <c r="AG1" s="12">
        <v>2046</v>
      </c>
      <c r="AH1" s="12">
        <v>2047</v>
      </c>
      <c r="AI1" s="12">
        <v>2048</v>
      </c>
      <c r="AJ1" s="12">
        <v>2049</v>
      </c>
      <c r="AK1" s="12">
        <v>2050</v>
      </c>
      <c r="AL1" s="12">
        <v>2051</v>
      </c>
      <c r="AM1" s="12">
        <v>2052</v>
      </c>
      <c r="AN1" s="12">
        <v>2053</v>
      </c>
      <c r="AO1" s="12">
        <v>2054</v>
      </c>
      <c r="AP1" s="12">
        <v>2055</v>
      </c>
      <c r="AQ1" s="12">
        <v>2056</v>
      </c>
      <c r="AR1" s="12">
        <v>2057</v>
      </c>
      <c r="AS1" s="12">
        <v>2058</v>
      </c>
      <c r="AT1" s="12">
        <v>2059</v>
      </c>
      <c r="AU1" s="12">
        <v>2060</v>
      </c>
      <c r="AV1" s="12">
        <v>2061</v>
      </c>
      <c r="AW1" s="12">
        <v>2062</v>
      </c>
      <c r="AX1" s="12">
        <v>2063</v>
      </c>
      <c r="AY1" s="12">
        <v>2064</v>
      </c>
      <c r="AZ1" s="12">
        <v>2065</v>
      </c>
      <c r="BA1" s="12">
        <v>2066</v>
      </c>
      <c r="BB1" s="12">
        <v>2067</v>
      </c>
      <c r="BC1" s="12">
        <v>2068</v>
      </c>
      <c r="BD1" s="12">
        <v>2069</v>
      </c>
      <c r="BE1" s="12">
        <v>2070</v>
      </c>
      <c r="BF1" s="12">
        <v>2071</v>
      </c>
      <c r="BG1" s="12">
        <v>2072</v>
      </c>
      <c r="BH1" s="12">
        <v>2073</v>
      </c>
      <c r="BI1" s="12">
        <v>2074</v>
      </c>
      <c r="BJ1" s="12">
        <v>2075</v>
      </c>
      <c r="BK1" s="12">
        <v>2076</v>
      </c>
      <c r="BL1" s="12">
        <v>2077</v>
      </c>
      <c r="BM1" s="12">
        <v>2078</v>
      </c>
      <c r="BN1" s="12">
        <v>2079</v>
      </c>
      <c r="BO1" s="12">
        <v>2080</v>
      </c>
      <c r="BP1" s="12">
        <v>2081</v>
      </c>
      <c r="BQ1" s="12">
        <v>2082</v>
      </c>
      <c r="BR1" s="12">
        <v>2083</v>
      </c>
      <c r="BS1" s="12">
        <v>2084</v>
      </c>
      <c r="BT1" s="12">
        <v>2085</v>
      </c>
      <c r="BU1" s="12">
        <v>2086</v>
      </c>
      <c r="BV1" s="12">
        <v>2087</v>
      </c>
      <c r="BW1" s="12">
        <v>2088</v>
      </c>
      <c r="BX1" s="12">
        <v>2089</v>
      </c>
      <c r="BY1" s="12">
        <v>2090</v>
      </c>
      <c r="BZ1" s="12">
        <v>2091</v>
      </c>
      <c r="CA1" s="12">
        <v>2092</v>
      </c>
      <c r="CB1" s="12">
        <v>2093</v>
      </c>
      <c r="CC1" s="12">
        <v>2094</v>
      </c>
      <c r="CD1" s="12">
        <v>2095</v>
      </c>
      <c r="CE1" s="12">
        <v>2096</v>
      </c>
      <c r="CF1" s="12">
        <v>2097</v>
      </c>
      <c r="CG1" s="12">
        <v>2098</v>
      </c>
      <c r="CH1" s="12">
        <v>2099</v>
      </c>
      <c r="CI1" s="12">
        <v>2100</v>
      </c>
      <c r="CJ1" s="12">
        <v>2101</v>
      </c>
      <c r="CK1" s="12">
        <v>2102</v>
      </c>
      <c r="CL1" s="12">
        <v>2103</v>
      </c>
      <c r="CM1" s="12">
        <v>2104</v>
      </c>
      <c r="CN1" s="12">
        <v>2105</v>
      </c>
      <c r="CO1" s="12">
        <v>2106</v>
      </c>
      <c r="CP1" s="12">
        <v>2107</v>
      </c>
      <c r="CQ1" s="12">
        <v>2108</v>
      </c>
      <c r="CR1" s="12">
        <v>2109</v>
      </c>
      <c r="CS1" s="12">
        <v>2110</v>
      </c>
      <c r="CT1" s="12">
        <v>2111</v>
      </c>
      <c r="CU1" s="12">
        <v>2112</v>
      </c>
      <c r="CV1" s="12">
        <v>2113</v>
      </c>
      <c r="CW1" s="12">
        <v>2114</v>
      </c>
      <c r="CX1" s="12">
        <v>2115</v>
      </c>
      <c r="CY1" s="12">
        <v>2116</v>
      </c>
      <c r="CZ1" s="12">
        <v>2117</v>
      </c>
      <c r="DA1" s="12">
        <v>2118</v>
      </c>
      <c r="DB1" s="12">
        <v>2119</v>
      </c>
      <c r="DC1" s="12">
        <v>2120</v>
      </c>
    </row>
    <row r="2" spans="1:107" x14ac:dyDescent="0.3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>
        <v>42.459434477038705</v>
      </c>
      <c r="G2" s="12" cm="1">
        <f t="array" ref="G2">edadCalc(E2)</f>
        <v>46</v>
      </c>
      <c r="H2" s="13" t="s">
        <v>10</v>
      </c>
      <c r="K2" s="29"/>
      <c r="L2" s="52" cm="1">
        <f t="array" ref="L2">SalarioAnual('Empleados activos'!L$1, Supuestos!$C$2, 'Empleados activos'!D2, 'Empleados activos'!B2, Hombres!$A$1:$DW$117, Mujeres!$A$1:$DW$117)</f>
        <v>725402</v>
      </c>
    </row>
    <row r="3" spans="1:107" x14ac:dyDescent="0.3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>
        <v>46.708036110635952</v>
      </c>
      <c r="G3" s="12" cm="1">
        <f t="array" ref="G3">edadCalc(E3)</f>
        <v>42</v>
      </c>
      <c r="H3" s="12">
        <f>AVERAGE(F2:F225)</f>
        <v>50.038892172609579</v>
      </c>
      <c r="K3" s="29"/>
    </row>
    <row r="4" spans="1:107" x14ac:dyDescent="0.3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>
        <v>30.096305730243628</v>
      </c>
      <c r="G4" s="12" cm="1">
        <f t="array" ref="G4">edadCalc(E4)</f>
        <v>58</v>
      </c>
      <c r="I4" t="s">
        <v>14</v>
      </c>
      <c r="K4" s="29"/>
      <c r="M4" s="74"/>
    </row>
    <row r="5" spans="1:107" x14ac:dyDescent="0.3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>
        <v>49.918540883947905</v>
      </c>
      <c r="G5" s="12" cm="1">
        <f t="array" ref="G5">edadCalc(E5)</f>
        <v>39</v>
      </c>
      <c r="K5" s="29"/>
    </row>
    <row r="6" spans="1:107" x14ac:dyDescent="0.3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>
        <v>40.226934369279071</v>
      </c>
      <c r="G6" s="12" cm="1">
        <f t="array" ref="G6">edadCalc(E6)</f>
        <v>44</v>
      </c>
      <c r="I6">
        <f>2025+(115-MIN(G2:G225))</f>
        <v>2118</v>
      </c>
      <c r="K6" s="29"/>
    </row>
    <row r="7" spans="1:107" x14ac:dyDescent="0.3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>
        <v>22.971615304633559</v>
      </c>
      <c r="G7" s="12" cm="1">
        <f t="array" ref="G7">edadCalc(E7)</f>
        <v>62</v>
      </c>
      <c r="I7">
        <f>MAX(G2:G225)</f>
        <v>62</v>
      </c>
      <c r="K7" s="29"/>
    </row>
    <row r="8" spans="1:107" x14ac:dyDescent="0.3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>
        <v>34.135164360161021</v>
      </c>
      <c r="G8" s="12" cm="1">
        <f t="array" ref="G8">edadCalc(E8)</f>
        <v>54</v>
      </c>
      <c r="K8" s="29"/>
    </row>
    <row r="9" spans="1:107" x14ac:dyDescent="0.3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>
        <v>49.918540883947905</v>
      </c>
      <c r="G9" s="12" cm="1">
        <f t="array" ref="G9">edadCalc(E9)</f>
        <v>39</v>
      </c>
      <c r="K9" s="29"/>
    </row>
    <row r="10" spans="1:107" x14ac:dyDescent="0.3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>
        <v>44.5778590925351</v>
      </c>
      <c r="G10" s="12" cm="1">
        <f t="array" ref="G10">edadCalc(E10)</f>
        <v>44</v>
      </c>
      <c r="K10" s="29"/>
    </row>
    <row r="11" spans="1:107" x14ac:dyDescent="0.3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>
        <v>47.776404759356616</v>
      </c>
      <c r="G11" s="12" cm="1">
        <f t="array" ref="G11">edadCalc(E11)</f>
        <v>41</v>
      </c>
      <c r="K11" s="29"/>
    </row>
    <row r="12" spans="1:107" x14ac:dyDescent="0.3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>
        <v>46.708036110635952</v>
      </c>
      <c r="G12" s="12" cm="1">
        <f t="array" ref="G12">edadCalc(E12)</f>
        <v>42</v>
      </c>
      <c r="K12" s="29"/>
    </row>
    <row r="13" spans="1:107" x14ac:dyDescent="0.3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>
        <v>32.10277953786342</v>
      </c>
      <c r="G13" s="12" cm="1">
        <f t="array" ref="G13">edadCalc(E13)</f>
        <v>56</v>
      </c>
      <c r="K13" s="29"/>
    </row>
    <row r="14" spans="1:107" x14ac:dyDescent="0.3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>
        <v>45.641752242691531</v>
      </c>
      <c r="G14" s="12" cm="1">
        <f t="array" ref="G14">edadCalc(E14)</f>
        <v>43</v>
      </c>
      <c r="K14" s="29"/>
    </row>
    <row r="15" spans="1:107" x14ac:dyDescent="0.3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>
        <v>53.14350544340838</v>
      </c>
      <c r="G15" s="12" cm="1">
        <f t="array" ref="G15">edadCalc(E15)</f>
        <v>36</v>
      </c>
      <c r="K15" s="29"/>
    </row>
    <row r="16" spans="1:107" x14ac:dyDescent="0.3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>
        <v>47.776404759356616</v>
      </c>
      <c r="G16" s="12" cm="1">
        <f t="array" ref="G16">edadCalc(E16)</f>
        <v>41</v>
      </c>
      <c r="K16" s="29"/>
    </row>
    <row r="17" spans="1:11" x14ac:dyDescent="0.3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>
        <v>42.459434477038705</v>
      </c>
      <c r="G17" s="12" cm="1">
        <f t="array" ref="G17">edadCalc(E17)</f>
        <v>46</v>
      </c>
      <c r="K17" s="29"/>
    </row>
    <row r="18" spans="1:11" x14ac:dyDescent="0.3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>
        <v>43.516970221614415</v>
      </c>
      <c r="G18" s="12" cm="1">
        <f t="array" ref="G18">edadCalc(E18)</f>
        <v>45</v>
      </c>
      <c r="K18" s="29"/>
    </row>
    <row r="19" spans="1:11" x14ac:dyDescent="0.3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>
        <v>46.372251474501553</v>
      </c>
      <c r="G19" s="12" cm="1">
        <f t="array" ref="G19">edadCalc(E19)</f>
        <v>38</v>
      </c>
      <c r="K19" s="29"/>
    </row>
    <row r="20" spans="1:11" x14ac:dyDescent="0.3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>
        <v>54.221478258522609</v>
      </c>
      <c r="G20" s="12" cm="1">
        <f t="array" ref="G20">edadCalc(E20)</f>
        <v>35</v>
      </c>
      <c r="K20" s="29"/>
    </row>
    <row r="21" spans="1:11" x14ac:dyDescent="0.3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>
        <v>50.52270681003921</v>
      </c>
      <c r="G21" s="12" cm="1">
        <f t="array" ref="G21">edadCalc(E21)</f>
        <v>34</v>
      </c>
      <c r="K21" s="29"/>
    </row>
    <row r="22" spans="1:11" x14ac:dyDescent="0.3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>
        <v>52.066974680425012</v>
      </c>
      <c r="G22" s="12" cm="1">
        <f t="array" ref="G22">edadCalc(E22)</f>
        <v>37</v>
      </c>
      <c r="K22" s="29"/>
    </row>
    <row r="23" spans="1:11" x14ac:dyDescent="0.3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>
        <v>53.638201851667247</v>
      </c>
      <c r="G23" s="12" cm="1">
        <f t="array" ref="G23">edadCalc(E23)</f>
        <v>31</v>
      </c>
      <c r="K23" s="29"/>
    </row>
    <row r="24" spans="1:11" x14ac:dyDescent="0.3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>
        <v>53.14350544340838</v>
      </c>
      <c r="G24" s="12" cm="1">
        <f t="array" ref="G24">edadCalc(E24)</f>
        <v>36</v>
      </c>
      <c r="K24" s="29"/>
    </row>
    <row r="25" spans="1:11" x14ac:dyDescent="0.3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>
        <v>36.198137848957074</v>
      </c>
      <c r="G25" s="12" cm="1">
        <f t="array" ref="G25">edadCalc(E25)</f>
        <v>48</v>
      </c>
      <c r="K25" s="29"/>
    </row>
    <row r="26" spans="1:11" x14ac:dyDescent="0.3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>
        <v>38.264228173978282</v>
      </c>
      <c r="G26" s="12" cm="1">
        <f t="array" ref="G26">edadCalc(E26)</f>
        <v>50</v>
      </c>
      <c r="K26" s="29"/>
    </row>
    <row r="27" spans="1:11" x14ac:dyDescent="0.3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>
        <v>58.54338628503988</v>
      </c>
      <c r="G27" s="12" cm="1">
        <f t="array" ref="G27">edadCalc(E27)</f>
        <v>31</v>
      </c>
      <c r="K27" s="29"/>
    </row>
    <row r="28" spans="1:11" x14ac:dyDescent="0.3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>
        <v>56.380568080323478</v>
      </c>
      <c r="G28" s="12" cm="1">
        <f t="array" ref="G28">edadCalc(E28)</f>
        <v>33</v>
      </c>
      <c r="K28" s="29"/>
    </row>
    <row r="29" spans="1:11" x14ac:dyDescent="0.3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>
        <v>47.408100340778319</v>
      </c>
      <c r="G29" s="12" cm="1">
        <f t="array" ref="G29">edadCalc(E29)</f>
        <v>37</v>
      </c>
      <c r="K29" s="29"/>
    </row>
    <row r="30" spans="1:11" x14ac:dyDescent="0.3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>
        <v>40.354889008960043</v>
      </c>
      <c r="G30" s="12" cm="1">
        <f t="array" ref="G30">edadCalc(E30)</f>
        <v>48</v>
      </c>
      <c r="K30" s="29"/>
    </row>
    <row r="31" spans="1:11" x14ac:dyDescent="0.3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>
        <v>42.459434477038705</v>
      </c>
      <c r="G31" s="12" cm="1">
        <f t="array" ref="G31">edadCalc(E31)</f>
        <v>46</v>
      </c>
      <c r="K31" s="29"/>
    </row>
    <row r="32" spans="1:11" x14ac:dyDescent="0.3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>
        <v>38.204886974416027</v>
      </c>
      <c r="G32" s="12" cm="1">
        <f t="array" ref="G32">edadCalc(E32)</f>
        <v>46</v>
      </c>
      <c r="K32" s="29"/>
    </row>
    <row r="33" spans="1:11" x14ac:dyDescent="0.3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>
        <v>44.5778590925351</v>
      </c>
      <c r="G33" s="12" cm="1">
        <f t="array" ref="G33">edadCalc(E33)</f>
        <v>44</v>
      </c>
      <c r="K33" s="29"/>
    </row>
    <row r="34" spans="1:11" x14ac:dyDescent="0.3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>
        <v>46.372251474501553</v>
      </c>
      <c r="G34" s="12" cm="1">
        <f t="array" ref="G34">edadCalc(E34)</f>
        <v>38</v>
      </c>
      <c r="K34" s="29"/>
    </row>
    <row r="35" spans="1:11" x14ac:dyDescent="0.3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>
        <v>38.204886974416027</v>
      </c>
      <c r="G35" s="12" cm="1">
        <f t="array" ref="G35">edadCalc(E35)</f>
        <v>46</v>
      </c>
      <c r="K35" s="29"/>
    </row>
    <row r="36" spans="1:11" x14ac:dyDescent="0.3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>
        <v>39.307725722036096</v>
      </c>
      <c r="G36" s="12" cm="1">
        <f t="array" ref="G36">edadCalc(E36)</f>
        <v>49</v>
      </c>
      <c r="K36" s="29"/>
    </row>
    <row r="37" spans="1:11" x14ac:dyDescent="0.3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>
        <v>42.459434477038705</v>
      </c>
      <c r="G37" s="12" cm="1">
        <f t="array" ref="G37">edadCalc(E37)</f>
        <v>46</v>
      </c>
      <c r="K37" s="29"/>
    </row>
    <row r="38" spans="1:11" x14ac:dyDescent="0.3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>
        <v>57.461511670365518</v>
      </c>
      <c r="G38" s="12" cm="1">
        <f t="array" ref="G38">edadCalc(E38)</f>
        <v>32</v>
      </c>
      <c r="K38" s="29"/>
    </row>
    <row r="39" spans="1:11" x14ac:dyDescent="0.3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>
        <v>50.99197863939898</v>
      </c>
      <c r="G39" s="12" cm="1">
        <f t="array" ref="G39">edadCalc(E39)</f>
        <v>38</v>
      </c>
      <c r="K39" s="29"/>
    </row>
    <row r="40" spans="1:11" x14ac:dyDescent="0.3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>
        <v>52.599531014555119</v>
      </c>
      <c r="G40" s="12" cm="1">
        <f t="array" ref="G40">edadCalc(E40)</f>
        <v>32</v>
      </c>
      <c r="K40" s="29"/>
    </row>
    <row r="41" spans="1:11" x14ac:dyDescent="0.3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>
        <v>49.918540883947905</v>
      </c>
      <c r="G41" s="12" cm="1">
        <f t="array" ref="G41">edadCalc(E41)</f>
        <v>39</v>
      </c>
      <c r="K41" s="29"/>
    </row>
    <row r="42" spans="1:11" x14ac:dyDescent="0.3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>
        <v>31.096347758980656</v>
      </c>
      <c r="G42" s="12" cm="1">
        <f t="array" ref="G42">edadCalc(E42)</f>
        <v>57</v>
      </c>
      <c r="K42" s="29"/>
    </row>
    <row r="43" spans="1:11" x14ac:dyDescent="0.3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>
        <v>48.846644248579132</v>
      </c>
      <c r="G43" s="12" cm="1">
        <f t="array" ref="G43">edadCalc(E43)</f>
        <v>40</v>
      </c>
      <c r="K43" s="29"/>
    </row>
    <row r="44" spans="1:11" x14ac:dyDescent="0.3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>
        <v>49.484228029380745</v>
      </c>
      <c r="G44" s="12" cm="1">
        <f t="array" ref="G44">edadCalc(E44)</f>
        <v>35</v>
      </c>
      <c r="K44" s="29"/>
    </row>
    <row r="45" spans="1:11" x14ac:dyDescent="0.3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>
        <v>51.561068751399539</v>
      </c>
      <c r="G45" s="12" cm="1">
        <f t="array" ref="G45">edadCalc(E45)</f>
        <v>33</v>
      </c>
      <c r="K45" s="29"/>
    </row>
    <row r="46" spans="1:11" x14ac:dyDescent="0.3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>
        <v>47.408100340778319</v>
      </c>
      <c r="G46" s="12" cm="1">
        <f t="array" ref="G46">edadCalc(E46)</f>
        <v>37</v>
      </c>
      <c r="K46" s="29"/>
    </row>
    <row r="47" spans="1:11" x14ac:dyDescent="0.3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>
        <v>49.484228029380745</v>
      </c>
      <c r="G47" s="12" cm="1">
        <f t="array" ref="G47">edadCalc(E47)</f>
        <v>35</v>
      </c>
      <c r="K47" s="29"/>
    </row>
    <row r="48" spans="1:11" x14ac:dyDescent="0.3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>
        <v>50.99197863939898</v>
      </c>
      <c r="G48" s="12" cm="1">
        <f t="array" ref="G48">edadCalc(E48)</f>
        <v>38</v>
      </c>
      <c r="K48" s="29"/>
    </row>
    <row r="49" spans="1:11" x14ac:dyDescent="0.3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>
        <v>48.445727179510286</v>
      </c>
      <c r="G49" s="12" cm="1">
        <f t="array" ref="G49">edadCalc(E49)</f>
        <v>36</v>
      </c>
      <c r="K49" s="29"/>
    </row>
    <row r="50" spans="1:11" x14ac:dyDescent="0.3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>
        <v>45.641752242691531</v>
      </c>
      <c r="G50" s="12" cm="1">
        <f t="array" ref="G50">edadCalc(E50)</f>
        <v>43</v>
      </c>
      <c r="K50" s="29"/>
    </row>
    <row r="51" spans="1:11" x14ac:dyDescent="0.3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>
        <v>46.372251474501553</v>
      </c>
      <c r="G51" s="12" cm="1">
        <f t="array" ref="G51">edadCalc(E51)</f>
        <v>38</v>
      </c>
      <c r="K51" s="29"/>
    </row>
    <row r="52" spans="1:11" x14ac:dyDescent="0.3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>
        <v>45.338951219417901</v>
      </c>
      <c r="G52" s="12" cm="1">
        <f t="array" ref="G52">edadCalc(E52)</f>
        <v>39</v>
      </c>
      <c r="K52" s="29"/>
    </row>
    <row r="53" spans="1:11" x14ac:dyDescent="0.3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>
        <v>39.307725722036096</v>
      </c>
      <c r="G53" s="12" cm="1">
        <f t="array" ref="G53">edadCalc(E53)</f>
        <v>49</v>
      </c>
      <c r="K53" s="29"/>
    </row>
    <row r="54" spans="1:11" x14ac:dyDescent="0.3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>
        <v>40.354889008960043</v>
      </c>
      <c r="G54" s="12" cm="1">
        <f t="array" ref="G54">edadCalc(E54)</f>
        <v>48</v>
      </c>
      <c r="K54" s="29"/>
    </row>
    <row r="55" spans="1:11" x14ac:dyDescent="0.3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>
        <v>49.918540883947905</v>
      </c>
      <c r="G55" s="12" cm="1">
        <f t="array" ref="G55">edadCalc(E55)</f>
        <v>39</v>
      </c>
      <c r="K55" s="29"/>
    </row>
    <row r="56" spans="1:11" x14ac:dyDescent="0.3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>
        <v>54.221478258522609</v>
      </c>
      <c r="G56" s="12" cm="1">
        <f t="array" ref="G56">edadCalc(E56)</f>
        <v>35</v>
      </c>
      <c r="K56" s="29"/>
    </row>
    <row r="57" spans="1:11" x14ac:dyDescent="0.3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>
        <v>54.221478258522609</v>
      </c>
      <c r="G57" s="12" cm="1">
        <f t="array" ref="G57">edadCalc(E57)</f>
        <v>35</v>
      </c>
      <c r="K57" s="29"/>
    </row>
    <row r="58" spans="1:11" x14ac:dyDescent="0.3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>
        <v>55.300534903292863</v>
      </c>
      <c r="G58" s="12" cm="1">
        <f t="array" ref="G58">edadCalc(E58)</f>
        <v>34</v>
      </c>
      <c r="K58" s="29"/>
    </row>
    <row r="59" spans="1:11" x14ac:dyDescent="0.3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>
        <v>49.484228029380745</v>
      </c>
      <c r="G59" s="12" cm="1">
        <f t="array" ref="G59">edadCalc(E59)</f>
        <v>35</v>
      </c>
      <c r="K59" s="29"/>
    </row>
    <row r="60" spans="1:11" x14ac:dyDescent="0.3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>
        <v>44.308741050989077</v>
      </c>
      <c r="G60" s="12" cm="1">
        <f t="array" ref="G60">edadCalc(E60)</f>
        <v>40</v>
      </c>
      <c r="K60" s="29"/>
    </row>
    <row r="61" spans="1:11" x14ac:dyDescent="0.3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>
        <v>48.846644248579132</v>
      </c>
      <c r="G61" s="12" cm="1">
        <f t="array" ref="G61">edadCalc(E61)</f>
        <v>40</v>
      </c>
      <c r="K61" s="29"/>
    </row>
    <row r="62" spans="1:11" x14ac:dyDescent="0.3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>
        <v>57.461511670365518</v>
      </c>
      <c r="G62" s="12" cm="1">
        <f t="array" ref="G62">edadCalc(E62)</f>
        <v>32</v>
      </c>
      <c r="K62" s="29"/>
    </row>
    <row r="63" spans="1:11" x14ac:dyDescent="0.3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>
        <v>50.52270681003921</v>
      </c>
      <c r="G63" s="12" cm="1">
        <f t="array" ref="G63">edadCalc(E63)</f>
        <v>34</v>
      </c>
      <c r="K63" s="29"/>
    </row>
    <row r="64" spans="1:11" x14ac:dyDescent="0.3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>
        <v>50.52270681003921</v>
      </c>
      <c r="G64" s="12" cm="1">
        <f t="array" ref="G64">edadCalc(E64)</f>
        <v>34</v>
      </c>
      <c r="K64" s="29"/>
    </row>
    <row r="65" spans="1:11" x14ac:dyDescent="0.3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>
        <v>35.203341773758538</v>
      </c>
      <c r="G65" s="12" cm="1">
        <f t="array" ref="G65">edadCalc(E65)</f>
        <v>49</v>
      </c>
      <c r="K65" s="29"/>
    </row>
    <row r="66" spans="1:11" x14ac:dyDescent="0.3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>
        <v>48.445727179510286</v>
      </c>
      <c r="G66" s="12" cm="1">
        <f t="array" ref="G66">edadCalc(E66)</f>
        <v>36</v>
      </c>
      <c r="K66" s="29"/>
    </row>
    <row r="67" spans="1:11" x14ac:dyDescent="0.3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>
        <v>63.956745179223539</v>
      </c>
      <c r="G67" s="12" cm="1">
        <f t="array" ref="G67">edadCalc(E67)</f>
        <v>26</v>
      </c>
      <c r="K67" s="29"/>
    </row>
    <row r="68" spans="1:11" x14ac:dyDescent="0.3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>
        <v>44.308741050989077</v>
      </c>
      <c r="G68" s="12" cm="1">
        <f t="array" ref="G68">edadCalc(E68)</f>
        <v>40</v>
      </c>
      <c r="K68" s="29"/>
    </row>
    <row r="69" spans="1:11" x14ac:dyDescent="0.3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>
        <v>62.873980638676535</v>
      </c>
      <c r="G69" s="12" cm="1">
        <f t="array" ref="G69">edadCalc(E69)</f>
        <v>27</v>
      </c>
      <c r="K69" s="29"/>
    </row>
    <row r="70" spans="1:11" x14ac:dyDescent="0.3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>
        <v>30.329161626259516</v>
      </c>
      <c r="G70" s="12" cm="1">
        <f t="array" ref="G70">edadCalc(E70)</f>
        <v>54</v>
      </c>
      <c r="K70" s="29"/>
    </row>
    <row r="71" spans="1:11" x14ac:dyDescent="0.3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>
        <v>56.380568080323478</v>
      </c>
      <c r="G71" s="12" cm="1">
        <f t="array" ref="G71">edadCalc(E71)</f>
        <v>33</v>
      </c>
      <c r="K71" s="29"/>
    </row>
    <row r="72" spans="1:11" x14ac:dyDescent="0.3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>
        <v>56.380568080323478</v>
      </c>
      <c r="G72" s="12" cm="1">
        <f t="array" ref="G72">edadCalc(E72)</f>
        <v>33</v>
      </c>
      <c r="K72" s="29"/>
    </row>
    <row r="73" spans="1:11" x14ac:dyDescent="0.3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>
        <v>48.445727179510286</v>
      </c>
      <c r="G73" s="12" cm="1">
        <f t="array" ref="G73">edadCalc(E73)</f>
        <v>36</v>
      </c>
      <c r="K73" s="29"/>
    </row>
    <row r="74" spans="1:11" x14ac:dyDescent="0.3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>
        <v>56.380568080323478</v>
      </c>
      <c r="G74" s="12" cm="1">
        <f t="array" ref="G74">edadCalc(E74)</f>
        <v>33</v>
      </c>
      <c r="K74" s="29"/>
    </row>
    <row r="75" spans="1:11" x14ac:dyDescent="0.3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>
        <v>49.918540883947905</v>
      </c>
      <c r="G75" s="12" cm="1">
        <f t="array" ref="G75">edadCalc(E75)</f>
        <v>39</v>
      </c>
      <c r="K75" s="29"/>
    </row>
    <row r="76" spans="1:11" x14ac:dyDescent="0.3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>
        <v>53.14350544340838</v>
      </c>
      <c r="G76" s="12" cm="1">
        <f t="array" ref="G76">edadCalc(E76)</f>
        <v>36</v>
      </c>
      <c r="K76" s="29"/>
    </row>
    <row r="77" spans="1:11" x14ac:dyDescent="0.3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>
        <v>41.241692674743973</v>
      </c>
      <c r="G77" s="12" cm="1">
        <f t="array" ref="G77">edadCalc(E77)</f>
        <v>43</v>
      </c>
      <c r="K77" s="29"/>
    </row>
    <row r="78" spans="1:11" x14ac:dyDescent="0.3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>
        <v>39.214673965866346</v>
      </c>
      <c r="G78" s="12" cm="1">
        <f t="array" ref="G78">edadCalc(E78)</f>
        <v>45</v>
      </c>
      <c r="K78" s="29"/>
    </row>
    <row r="79" spans="1:11" x14ac:dyDescent="0.3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>
        <v>49.484228029380745</v>
      </c>
      <c r="G79" s="12" cm="1">
        <f t="array" ref="G79">edadCalc(E79)</f>
        <v>35</v>
      </c>
      <c r="K79" s="29"/>
    </row>
    <row r="80" spans="1:11" x14ac:dyDescent="0.3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>
        <v>62.873980638676535</v>
      </c>
      <c r="G80" s="12" cm="1">
        <f t="array" ref="G80">edadCalc(E80)</f>
        <v>27</v>
      </c>
      <c r="K80" s="29"/>
    </row>
    <row r="81" spans="1:11" x14ac:dyDescent="0.3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>
        <v>52.599531014555119</v>
      </c>
      <c r="G81" s="12" cm="1">
        <f t="array" ref="G81">edadCalc(E81)</f>
        <v>32</v>
      </c>
      <c r="K81" s="29"/>
    </row>
    <row r="82" spans="1:11" x14ac:dyDescent="0.3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>
        <v>56.756489657566817</v>
      </c>
      <c r="G82" s="12" cm="1">
        <f t="array" ref="G82">edadCalc(E82)</f>
        <v>28</v>
      </c>
      <c r="K82" s="29"/>
    </row>
    <row r="83" spans="1:11" x14ac:dyDescent="0.3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>
        <v>58.839653070361329</v>
      </c>
      <c r="G83" s="12" cm="1">
        <f t="array" ref="G83">edadCalc(E83)</f>
        <v>26</v>
      </c>
      <c r="K83" s="29"/>
    </row>
    <row r="84" spans="1:11" x14ac:dyDescent="0.3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>
        <v>51.561068751399539</v>
      </c>
      <c r="G84" s="12" cm="1">
        <f t="array" ref="G84">edadCalc(E84)</f>
        <v>33</v>
      </c>
      <c r="K84" s="29"/>
    </row>
    <row r="85" spans="1:11" x14ac:dyDescent="0.3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>
        <v>46.708036110635952</v>
      </c>
      <c r="G85" s="12" cm="1">
        <f t="array" ref="G85">edadCalc(E85)</f>
        <v>42</v>
      </c>
      <c r="K85" s="29"/>
    </row>
    <row r="86" spans="1:11" x14ac:dyDescent="0.3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>
        <v>56.756489657566817</v>
      </c>
      <c r="G86" s="12" cm="1">
        <f t="array" ref="G86">edadCalc(E86)</f>
        <v>28</v>
      </c>
      <c r="K86" s="29"/>
    </row>
    <row r="87" spans="1:11" x14ac:dyDescent="0.3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>
        <v>59.625820995298447</v>
      </c>
      <c r="G87" s="12" cm="1">
        <f t="array" ref="G87">edadCalc(E87)</f>
        <v>30</v>
      </c>
      <c r="K87" s="29"/>
    </row>
    <row r="88" spans="1:11" x14ac:dyDescent="0.3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>
        <v>43.282191873776306</v>
      </c>
      <c r="G88" s="12" cm="1">
        <f t="array" ref="G88">edadCalc(E88)</f>
        <v>41</v>
      </c>
      <c r="K88" s="29"/>
    </row>
    <row r="89" spans="1:11" x14ac:dyDescent="0.3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>
        <v>53.14350544340838</v>
      </c>
      <c r="G89" s="12" cm="1">
        <f t="array" ref="G89">edadCalc(E89)</f>
        <v>36</v>
      </c>
      <c r="K89" s="29"/>
    </row>
    <row r="90" spans="1:11" x14ac:dyDescent="0.3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>
        <v>48.445727179510286</v>
      </c>
      <c r="G90" s="12" cm="1">
        <f t="array" ref="G90">edadCalc(E90)</f>
        <v>36</v>
      </c>
      <c r="K90" s="29"/>
    </row>
    <row r="91" spans="1:11" x14ac:dyDescent="0.3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>
        <v>43.516970221614415</v>
      </c>
      <c r="G91" s="12" cm="1">
        <f t="array" ref="G91">edadCalc(E91)</f>
        <v>45</v>
      </c>
      <c r="K91" s="29"/>
    </row>
    <row r="92" spans="1:11" x14ac:dyDescent="0.3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>
        <v>40.226934369279071</v>
      </c>
      <c r="G92" s="12" cm="1">
        <f t="array" ref="G92">edadCalc(E92)</f>
        <v>44</v>
      </c>
      <c r="K92" s="29"/>
    </row>
    <row r="93" spans="1:11" x14ac:dyDescent="0.3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>
        <v>56.380568080323478</v>
      </c>
      <c r="G93" s="12" cm="1">
        <f t="array" ref="G93">edadCalc(E93)</f>
        <v>33</v>
      </c>
      <c r="K93" s="29"/>
    </row>
    <row r="94" spans="1:11" x14ac:dyDescent="0.3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>
        <v>57.797859179317832</v>
      </c>
      <c r="G94" s="12" cm="1">
        <f t="array" ref="G94">edadCalc(E94)</f>
        <v>27</v>
      </c>
      <c r="K94" s="29"/>
    </row>
    <row r="95" spans="1:11" x14ac:dyDescent="0.3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>
        <v>60.708537274902611</v>
      </c>
      <c r="G95" s="12" cm="1">
        <f t="array" ref="G95">edadCalc(E95)</f>
        <v>29</v>
      </c>
      <c r="K95" s="29"/>
    </row>
    <row r="96" spans="1:11" x14ac:dyDescent="0.3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>
        <v>36.198137848957074</v>
      </c>
      <c r="G96" s="12" cm="1">
        <f t="array" ref="G96">edadCalc(E96)</f>
        <v>48</v>
      </c>
      <c r="K96" s="29"/>
    </row>
    <row r="97" spans="1:11" x14ac:dyDescent="0.3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>
        <v>34.214955596705444</v>
      </c>
      <c r="G97" s="12" cm="1">
        <f t="array" ref="G97">edadCalc(E97)</f>
        <v>50</v>
      </c>
      <c r="K97" s="29"/>
    </row>
    <row r="98" spans="1:11" x14ac:dyDescent="0.3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>
        <v>40.354889008960043</v>
      </c>
      <c r="G98" s="12" cm="1">
        <f t="array" ref="G98">edadCalc(E98)</f>
        <v>48</v>
      </c>
      <c r="K98" s="29"/>
    </row>
    <row r="99" spans="1:11" x14ac:dyDescent="0.3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>
        <v>34.214955596705444</v>
      </c>
      <c r="G99" s="12" cm="1">
        <f t="array" ref="G99">edadCalc(E99)</f>
        <v>50</v>
      </c>
      <c r="K99" s="29"/>
    </row>
    <row r="100" spans="1:11" x14ac:dyDescent="0.3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>
        <v>38.264228173978282</v>
      </c>
      <c r="G100" s="12" cm="1">
        <f t="array" ref="G100">edadCalc(E100)</f>
        <v>50</v>
      </c>
      <c r="K100" s="29"/>
    </row>
    <row r="101" spans="1:11" x14ac:dyDescent="0.3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>
        <v>48.445727179510286</v>
      </c>
      <c r="G101" s="12" cm="1">
        <f t="array" ref="G101">edadCalc(E101)</f>
        <v>36</v>
      </c>
      <c r="K101" s="29"/>
    </row>
    <row r="102" spans="1:11" x14ac:dyDescent="0.3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>
        <v>33.233389454955429</v>
      </c>
      <c r="G102" s="12" cm="1">
        <f t="array" ref="G102">edadCalc(E102)</f>
        <v>51</v>
      </c>
      <c r="K102" s="29"/>
    </row>
    <row r="103" spans="1:11" x14ac:dyDescent="0.3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>
        <v>55.300534903292863</v>
      </c>
      <c r="G103" s="12" cm="1">
        <f t="array" ref="G103">edadCalc(E103)</f>
        <v>34</v>
      </c>
      <c r="K103" s="29"/>
    </row>
    <row r="104" spans="1:11" x14ac:dyDescent="0.3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>
        <v>60.708537274902611</v>
      </c>
      <c r="G104" s="12" cm="1">
        <f t="array" ref="G104">edadCalc(E104)</f>
        <v>29</v>
      </c>
      <c r="K104" s="29"/>
    </row>
    <row r="105" spans="1:11" x14ac:dyDescent="0.3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>
        <v>54.221478258522609</v>
      </c>
      <c r="G105" s="12" cm="1">
        <f t="array" ref="G105">edadCalc(E105)</f>
        <v>35</v>
      </c>
      <c r="K105" s="29"/>
    </row>
    <row r="106" spans="1:11" x14ac:dyDescent="0.3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>
        <v>52.066974680425012</v>
      </c>
      <c r="G106" s="12" cm="1">
        <f t="array" ref="G106">edadCalc(E106)</f>
        <v>37</v>
      </c>
      <c r="K106" s="29"/>
    </row>
    <row r="107" spans="1:11" x14ac:dyDescent="0.3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>
        <v>36.198137848957074</v>
      </c>
      <c r="G107" s="12" cm="1">
        <f t="array" ref="G107">edadCalc(E107)</f>
        <v>48</v>
      </c>
      <c r="K107" s="29"/>
    </row>
    <row r="108" spans="1:11" x14ac:dyDescent="0.3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>
        <v>39.307725722036096</v>
      </c>
      <c r="G108" s="12" cm="1">
        <f t="array" ref="G108">edadCalc(E108)</f>
        <v>49</v>
      </c>
      <c r="K108" s="29"/>
    </row>
    <row r="109" spans="1:11" x14ac:dyDescent="0.3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>
        <v>47.408100340778319</v>
      </c>
      <c r="G109" s="12" cm="1">
        <f t="array" ref="G109">edadCalc(E109)</f>
        <v>37</v>
      </c>
      <c r="K109" s="29"/>
    </row>
    <row r="110" spans="1:11" x14ac:dyDescent="0.3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>
        <v>48.445727179510286</v>
      </c>
      <c r="G110" s="12" cm="1">
        <f t="array" ref="G110">edadCalc(E110)</f>
        <v>36</v>
      </c>
      <c r="K110" s="29"/>
    </row>
    <row r="111" spans="1:11" x14ac:dyDescent="0.3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>
        <v>46.372251474501553</v>
      </c>
      <c r="G111" s="12" cm="1">
        <f t="array" ref="G111">edadCalc(E111)</f>
        <v>38</v>
      </c>
      <c r="K111" s="29"/>
    </row>
    <row r="112" spans="1:11" x14ac:dyDescent="0.3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>
        <v>50.52270681003921</v>
      </c>
      <c r="G112" s="12" cm="1">
        <f t="array" ref="G112">edadCalc(E112)</f>
        <v>34</v>
      </c>
      <c r="K112" s="29"/>
    </row>
    <row r="113" spans="1:11" x14ac:dyDescent="0.3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>
        <v>61.7912784269528</v>
      </c>
      <c r="G113" s="12" cm="1">
        <f t="array" ref="G113">edadCalc(E113)</f>
        <v>28</v>
      </c>
      <c r="K113" s="29"/>
    </row>
    <row r="114" spans="1:11" x14ac:dyDescent="0.3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>
        <v>56.380568080323478</v>
      </c>
      <c r="G114" s="12" cm="1">
        <f t="array" ref="G114">edadCalc(E114)</f>
        <v>33</v>
      </c>
      <c r="K114" s="29"/>
    </row>
    <row r="115" spans="1:11" x14ac:dyDescent="0.3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>
        <v>56.380568080323478</v>
      </c>
      <c r="G115" s="12" cm="1">
        <f t="array" ref="G115">edadCalc(E115)</f>
        <v>33</v>
      </c>
      <c r="K115" s="29"/>
    </row>
    <row r="116" spans="1:11" x14ac:dyDescent="0.3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>
        <v>50.52270681003921</v>
      </c>
      <c r="G116" s="12" cm="1">
        <f t="array" ref="G116">edadCalc(E116)</f>
        <v>34</v>
      </c>
      <c r="K116" s="29"/>
    </row>
    <row r="117" spans="1:11" x14ac:dyDescent="0.3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>
        <v>51.561068751399539</v>
      </c>
      <c r="G117" s="12" cm="1">
        <f t="array" ref="G117">edadCalc(E117)</f>
        <v>33</v>
      </c>
      <c r="K117" s="29"/>
    </row>
    <row r="118" spans="1:11" x14ac:dyDescent="0.3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>
        <v>47.408100340778319</v>
      </c>
      <c r="G118" s="12" cm="1">
        <f t="array" ref="G118">edadCalc(E118)</f>
        <v>37</v>
      </c>
      <c r="K118" s="29"/>
    </row>
    <row r="119" spans="1:11" x14ac:dyDescent="0.3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>
        <v>53.638201851667247</v>
      </c>
      <c r="G119" s="12" cm="1">
        <f t="array" ref="G119">edadCalc(E119)</f>
        <v>31</v>
      </c>
      <c r="K119" s="29"/>
    </row>
    <row r="120" spans="1:11" x14ac:dyDescent="0.3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>
        <v>56.380568080323478</v>
      </c>
      <c r="G120" s="12" cm="1">
        <f t="array" ref="G120">edadCalc(E120)</f>
        <v>33</v>
      </c>
      <c r="K120" s="29"/>
    </row>
    <row r="121" spans="1:11" x14ac:dyDescent="0.3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>
        <v>57.797859179317832</v>
      </c>
      <c r="G121" s="12" cm="1">
        <f t="array" ref="G121">edadCalc(E121)</f>
        <v>27</v>
      </c>
      <c r="K121" s="29"/>
    </row>
    <row r="122" spans="1:11" x14ac:dyDescent="0.3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>
        <v>49.484228029380745</v>
      </c>
      <c r="G122" s="12" cm="1">
        <f t="array" ref="G122">edadCalc(E122)</f>
        <v>35</v>
      </c>
      <c r="K122" s="29"/>
    </row>
    <row r="123" spans="1:11" x14ac:dyDescent="0.3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>
        <v>49.918540883947905</v>
      </c>
      <c r="G123" s="12" cm="1">
        <f t="array" ref="G123">edadCalc(E123)</f>
        <v>39</v>
      </c>
      <c r="K123" s="29"/>
    </row>
    <row r="124" spans="1:11" x14ac:dyDescent="0.3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>
        <v>50.52270681003921</v>
      </c>
      <c r="G124" s="12" cm="1">
        <f t="array" ref="G124">edadCalc(E124)</f>
        <v>34</v>
      </c>
      <c r="K124" s="29"/>
    </row>
    <row r="125" spans="1:11" x14ac:dyDescent="0.3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>
        <v>57.797859179317832</v>
      </c>
      <c r="G125" s="12" cm="1">
        <f t="array" ref="G125">edadCalc(E125)</f>
        <v>27</v>
      </c>
      <c r="K125" s="29"/>
    </row>
    <row r="126" spans="1:11" x14ac:dyDescent="0.3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>
        <v>52.599531014555119</v>
      </c>
      <c r="G126" s="12" cm="1">
        <f t="array" ref="G126">edadCalc(E126)</f>
        <v>32</v>
      </c>
      <c r="K126" s="29"/>
    </row>
    <row r="127" spans="1:11" x14ac:dyDescent="0.3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>
        <v>54.677010154380199</v>
      </c>
      <c r="G127" s="12" cm="1">
        <f t="array" ref="G127">edadCalc(E127)</f>
        <v>30</v>
      </c>
      <c r="K127" s="29"/>
    </row>
    <row r="128" spans="1:11" x14ac:dyDescent="0.3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>
        <v>57.797859179317832</v>
      </c>
      <c r="G128" s="12" cm="1">
        <f t="array" ref="G128">edadCalc(E128)</f>
        <v>27</v>
      </c>
      <c r="K128" s="29"/>
    </row>
    <row r="129" spans="1:11" x14ac:dyDescent="0.3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>
        <v>48.846644248579132</v>
      </c>
      <c r="G129" s="12" cm="1">
        <f t="array" ref="G129">edadCalc(E129)</f>
        <v>40</v>
      </c>
      <c r="K129" s="29"/>
    </row>
    <row r="130" spans="1:11" x14ac:dyDescent="0.3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>
        <v>52.599531014555119</v>
      </c>
      <c r="G130" s="12" cm="1">
        <f t="array" ref="G130">edadCalc(E130)</f>
        <v>32</v>
      </c>
      <c r="K130" s="29"/>
    </row>
    <row r="131" spans="1:11" x14ac:dyDescent="0.3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>
        <v>57.797859179317832</v>
      </c>
      <c r="G131" s="12" cm="1">
        <f t="array" ref="G131">edadCalc(E131)</f>
        <v>27</v>
      </c>
      <c r="K131" s="29"/>
    </row>
    <row r="132" spans="1:11" x14ac:dyDescent="0.3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>
        <v>63.010592607496712</v>
      </c>
      <c r="G132" s="12" cm="1">
        <f t="array" ref="G132">edadCalc(E132)</f>
        <v>22</v>
      </c>
      <c r="K132" s="29"/>
    </row>
    <row r="133" spans="1:11" x14ac:dyDescent="0.3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>
        <v>63.010592607496712</v>
      </c>
      <c r="G133" s="12" cm="1">
        <f t="array" ref="G133">edadCalc(E133)</f>
        <v>22</v>
      </c>
      <c r="K133" s="29"/>
    </row>
    <row r="134" spans="1:11" x14ac:dyDescent="0.3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>
        <v>58.54338628503988</v>
      </c>
      <c r="G134" s="12" cm="1">
        <f t="array" ref="G134">edadCalc(E134)</f>
        <v>31</v>
      </c>
      <c r="K134" s="29"/>
    </row>
    <row r="135" spans="1:11" x14ac:dyDescent="0.3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>
        <v>40.226934369279071</v>
      </c>
      <c r="G135" s="12" cm="1">
        <f t="array" ref="G135">edadCalc(E135)</f>
        <v>44</v>
      </c>
      <c r="K135" s="29"/>
    </row>
    <row r="136" spans="1:11" x14ac:dyDescent="0.3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>
        <v>50.52270681003921</v>
      </c>
      <c r="G136" s="12" cm="1">
        <f t="array" ref="G136">edadCalc(E136)</f>
        <v>34</v>
      </c>
      <c r="K136" s="29"/>
    </row>
    <row r="137" spans="1:11" x14ac:dyDescent="0.3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>
        <v>40.226934369279071</v>
      </c>
      <c r="G137" s="12" cm="1">
        <f t="array" ref="G137">edadCalc(E137)</f>
        <v>44</v>
      </c>
      <c r="K137" s="29"/>
    </row>
    <row r="138" spans="1:11" x14ac:dyDescent="0.3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>
        <v>34.214955596705444</v>
      </c>
      <c r="G138" s="12" cm="1">
        <f t="array" ref="G138">edadCalc(E138)</f>
        <v>50</v>
      </c>
      <c r="K138" s="29"/>
    </row>
    <row r="139" spans="1:11" x14ac:dyDescent="0.3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>
        <v>50.52270681003921</v>
      </c>
      <c r="G139" s="12" cm="1">
        <f t="array" ref="G139">edadCalc(E139)</f>
        <v>34</v>
      </c>
      <c r="K139" s="29"/>
    </row>
    <row r="140" spans="1:11" x14ac:dyDescent="0.3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>
        <v>49.484228029380745</v>
      </c>
      <c r="G140" s="12" cm="1">
        <f t="array" ref="G140">edadCalc(E140)</f>
        <v>35</v>
      </c>
      <c r="K140" s="29"/>
    </row>
    <row r="141" spans="1:11" x14ac:dyDescent="0.3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>
        <v>53.638201851667247</v>
      </c>
      <c r="G141" s="12" cm="1">
        <f t="array" ref="G141">edadCalc(E141)</f>
        <v>31</v>
      </c>
      <c r="K141" s="29"/>
    </row>
    <row r="142" spans="1:11" x14ac:dyDescent="0.3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>
        <v>63.956745179223539</v>
      </c>
      <c r="G142" s="12" cm="1">
        <f t="array" ref="G142">edadCalc(E142)</f>
        <v>26</v>
      </c>
      <c r="K142" s="29"/>
    </row>
    <row r="143" spans="1:11" x14ac:dyDescent="0.3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>
        <v>41.405449467237318</v>
      </c>
      <c r="G143" s="12" cm="1">
        <f t="array" ref="G143">edadCalc(E143)</f>
        <v>47</v>
      </c>
      <c r="K143" s="29"/>
    </row>
    <row r="144" spans="1:11" x14ac:dyDescent="0.3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>
        <v>51.561068751399539</v>
      </c>
      <c r="G144" s="12" cm="1">
        <f t="array" ref="G144">edadCalc(E144)</f>
        <v>33</v>
      </c>
      <c r="K144" s="29"/>
    </row>
    <row r="145" spans="1:11" x14ac:dyDescent="0.3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>
        <v>49.484228029380745</v>
      </c>
      <c r="G145" s="12" cm="1">
        <f t="array" ref="G145">edadCalc(E145)</f>
        <v>35</v>
      </c>
      <c r="K145" s="29"/>
    </row>
    <row r="146" spans="1:11" x14ac:dyDescent="0.3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>
        <v>51.561068751399539</v>
      </c>
      <c r="G146" s="12" cm="1">
        <f t="array" ref="G146">edadCalc(E146)</f>
        <v>33</v>
      </c>
      <c r="K146" s="29"/>
    </row>
    <row r="147" spans="1:11" x14ac:dyDescent="0.3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>
        <v>65.039759654312832</v>
      </c>
      <c r="G147" s="12" cm="1">
        <f t="array" ref="G147">edadCalc(E147)</f>
        <v>25</v>
      </c>
      <c r="K147" s="29"/>
    </row>
    <row r="148" spans="1:11" x14ac:dyDescent="0.3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>
        <v>41.405449467237318</v>
      </c>
      <c r="G148" s="12" cm="1">
        <f t="array" ref="G148">edadCalc(E148)</f>
        <v>47</v>
      </c>
      <c r="K148" s="29"/>
    </row>
    <row r="149" spans="1:11" x14ac:dyDescent="0.3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>
        <v>58.54338628503988</v>
      </c>
      <c r="G149" s="12" cm="1">
        <f t="array" ref="G149">edadCalc(E149)</f>
        <v>31</v>
      </c>
      <c r="K149" s="29"/>
    </row>
    <row r="150" spans="1:11" x14ac:dyDescent="0.3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>
        <v>48.846644248579132</v>
      </c>
      <c r="G150" s="12" cm="1">
        <f t="array" ref="G150">edadCalc(E150)</f>
        <v>40</v>
      </c>
      <c r="K150" s="29"/>
    </row>
    <row r="151" spans="1:11" x14ac:dyDescent="0.3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>
        <v>60.708537274902611</v>
      </c>
      <c r="G151" s="12" cm="1">
        <f t="array" ref="G151">edadCalc(E151)</f>
        <v>29</v>
      </c>
      <c r="K151" s="29"/>
    </row>
    <row r="152" spans="1:11" x14ac:dyDescent="0.3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>
        <v>54.677010154380199</v>
      </c>
      <c r="G152" s="12" cm="1">
        <f t="array" ref="G152">edadCalc(E152)</f>
        <v>30</v>
      </c>
      <c r="K152" s="29"/>
    </row>
    <row r="153" spans="1:11" x14ac:dyDescent="0.3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>
        <v>46.372251474501553</v>
      </c>
      <c r="G153" s="12" cm="1">
        <f t="array" ref="G153">edadCalc(E153)</f>
        <v>38</v>
      </c>
      <c r="K153" s="29"/>
    </row>
    <row r="154" spans="1:11" x14ac:dyDescent="0.3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>
        <v>45.338951219417901</v>
      </c>
      <c r="G154" s="12" cm="1">
        <f t="array" ref="G154">edadCalc(E154)</f>
        <v>39</v>
      </c>
      <c r="K154" s="29"/>
    </row>
    <row r="155" spans="1:11" x14ac:dyDescent="0.3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>
        <v>52.066974680425012</v>
      </c>
      <c r="G155" s="12" cm="1">
        <f t="array" ref="G155">edadCalc(E155)</f>
        <v>37</v>
      </c>
      <c r="K155" s="29"/>
    </row>
    <row r="156" spans="1:11" x14ac:dyDescent="0.3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>
        <v>55.716227293238511</v>
      </c>
      <c r="G156" s="12" cm="1">
        <f t="array" ref="G156">edadCalc(E156)</f>
        <v>29</v>
      </c>
      <c r="K156" s="29"/>
    </row>
    <row r="157" spans="1:11" x14ac:dyDescent="0.3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>
        <v>59.625820995298447</v>
      </c>
      <c r="G157" s="12" cm="1">
        <f t="array" ref="G157">edadCalc(E157)</f>
        <v>30</v>
      </c>
      <c r="K157" s="29"/>
    </row>
    <row r="158" spans="1:11" x14ac:dyDescent="0.3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>
        <v>59.625820995298447</v>
      </c>
      <c r="G158" s="12" cm="1">
        <f t="array" ref="G158">edadCalc(E158)</f>
        <v>30</v>
      </c>
      <c r="K158" s="29"/>
    </row>
    <row r="159" spans="1:11" x14ac:dyDescent="0.3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>
        <v>49.484228029380745</v>
      </c>
      <c r="G159" s="12" cm="1">
        <f t="array" ref="G159">edadCalc(E159)</f>
        <v>35</v>
      </c>
      <c r="K159" s="29"/>
    </row>
    <row r="160" spans="1:11" x14ac:dyDescent="0.3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>
        <v>48.846644248579132</v>
      </c>
      <c r="G160" s="12" cm="1">
        <f t="array" ref="G160">edadCalc(E160)</f>
        <v>40</v>
      </c>
      <c r="K160" s="29"/>
    </row>
    <row r="161" spans="1:11" x14ac:dyDescent="0.3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>
        <v>48.846644248579132</v>
      </c>
      <c r="G161" s="12" cm="1">
        <f t="array" ref="G161">edadCalc(E161)</f>
        <v>40</v>
      </c>
      <c r="K161" s="29"/>
    </row>
    <row r="162" spans="1:11" x14ac:dyDescent="0.3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>
        <v>54.221478258522609</v>
      </c>
      <c r="G162" s="12" cm="1">
        <f t="array" ref="G162">edadCalc(E162)</f>
        <v>35</v>
      </c>
      <c r="K162" s="29"/>
    </row>
    <row r="163" spans="1:11" x14ac:dyDescent="0.3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>
        <v>33.233389454955429</v>
      </c>
      <c r="G163" s="12" cm="1">
        <f t="array" ref="G163">edadCalc(E163)</f>
        <v>51</v>
      </c>
      <c r="K163" s="29"/>
    </row>
    <row r="164" spans="1:11" x14ac:dyDescent="0.3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>
        <v>55.300534903292863</v>
      </c>
      <c r="G164" s="12" cm="1">
        <f t="array" ref="G164">edadCalc(E164)</f>
        <v>34</v>
      </c>
      <c r="K164" s="29"/>
    </row>
    <row r="165" spans="1:11" x14ac:dyDescent="0.3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>
        <v>49.918540883947905</v>
      </c>
      <c r="G165" s="12" cm="1">
        <f t="array" ref="G165">edadCalc(E165)</f>
        <v>39</v>
      </c>
      <c r="K165" s="29"/>
    </row>
    <row r="166" spans="1:11" x14ac:dyDescent="0.3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>
        <v>38.204886974416027</v>
      </c>
      <c r="G166" s="12" cm="1">
        <f t="array" ref="G166">edadCalc(E166)</f>
        <v>46</v>
      </c>
      <c r="K166" s="29"/>
    </row>
    <row r="167" spans="1:11" x14ac:dyDescent="0.3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>
        <v>56.380568080323478</v>
      </c>
      <c r="G167" s="12" cm="1">
        <f t="array" ref="G167">edadCalc(E167)</f>
        <v>33</v>
      </c>
      <c r="K167" s="29"/>
    </row>
    <row r="168" spans="1:11" x14ac:dyDescent="0.3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>
        <v>50.52270681003921</v>
      </c>
      <c r="G168" s="12" cm="1">
        <f t="array" ref="G168">edadCalc(E168)</f>
        <v>34</v>
      </c>
      <c r="K168" s="29"/>
    </row>
    <row r="169" spans="1:11" x14ac:dyDescent="0.3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>
        <v>58.54338628503988</v>
      </c>
      <c r="G169" s="12" cm="1">
        <f t="array" ref="G169">edadCalc(E169)</f>
        <v>31</v>
      </c>
      <c r="K169" s="29"/>
    </row>
    <row r="170" spans="1:11" x14ac:dyDescent="0.3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>
        <v>65.039759654312832</v>
      </c>
      <c r="G170" s="12" cm="1">
        <f t="array" ref="G170">edadCalc(E170)</f>
        <v>25</v>
      </c>
      <c r="K170" s="29"/>
    </row>
    <row r="171" spans="1:11" x14ac:dyDescent="0.3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>
        <v>40.226934369279071</v>
      </c>
      <c r="G171" s="12" cm="1">
        <f t="array" ref="G171">edadCalc(E171)</f>
        <v>44</v>
      </c>
      <c r="K171" s="29"/>
    </row>
    <row r="172" spans="1:11" x14ac:dyDescent="0.3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>
        <v>45.641752242691531</v>
      </c>
      <c r="G172" s="12" cm="1">
        <f t="array" ref="G172">edadCalc(E172)</f>
        <v>43</v>
      </c>
      <c r="K172" s="29"/>
    </row>
    <row r="173" spans="1:11" x14ac:dyDescent="0.3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>
        <v>48.846644248579132</v>
      </c>
      <c r="G173" s="12" cm="1">
        <f t="array" ref="G173">edadCalc(E173)</f>
        <v>40</v>
      </c>
      <c r="K173" s="29"/>
    </row>
    <row r="174" spans="1:11" x14ac:dyDescent="0.3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>
        <v>50.52270681003921</v>
      </c>
      <c r="G174" s="12" cm="1">
        <f t="array" ref="G174">edadCalc(E174)</f>
        <v>34</v>
      </c>
      <c r="K174" s="29"/>
    </row>
    <row r="175" spans="1:11" x14ac:dyDescent="0.3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>
        <v>62.873980638676535</v>
      </c>
      <c r="G175" s="12" cm="1">
        <f t="array" ref="G175">edadCalc(E175)</f>
        <v>27</v>
      </c>
      <c r="K175" s="29"/>
    </row>
    <row r="176" spans="1:11" x14ac:dyDescent="0.3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>
        <v>42.259851835773354</v>
      </c>
      <c r="G176" s="12" cm="1">
        <f t="array" ref="G176">edadCalc(E176)</f>
        <v>42</v>
      </c>
      <c r="K176" s="29"/>
    </row>
    <row r="177" spans="1:11" x14ac:dyDescent="0.3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>
        <v>61.96645185534679</v>
      </c>
      <c r="G177" s="12" cm="1">
        <f t="array" ref="G177">edadCalc(E177)</f>
        <v>23</v>
      </c>
      <c r="K177" s="29"/>
    </row>
    <row r="178" spans="1:11" x14ac:dyDescent="0.3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>
        <v>53.638201851667247</v>
      </c>
      <c r="G178" s="12" cm="1">
        <f t="array" ref="G178">edadCalc(E178)</f>
        <v>31</v>
      </c>
      <c r="K178" s="29"/>
    </row>
    <row r="179" spans="1:11" x14ac:dyDescent="0.3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>
        <v>59.625820995298447</v>
      </c>
      <c r="G179" s="12" cm="1">
        <f t="array" ref="G179">edadCalc(E179)</f>
        <v>30</v>
      </c>
      <c r="K179" s="29"/>
    </row>
    <row r="180" spans="1:11" x14ac:dyDescent="0.3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>
        <v>59.881520197985225</v>
      </c>
      <c r="G180" s="12" cm="1">
        <f t="array" ref="G180">edadCalc(E180)</f>
        <v>25</v>
      </c>
      <c r="K180" s="29"/>
    </row>
    <row r="181" spans="1:11" x14ac:dyDescent="0.3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>
        <v>58.54338628503988</v>
      </c>
      <c r="G181" s="12" cm="1">
        <f t="array" ref="G181">edadCalc(E181)</f>
        <v>31</v>
      </c>
      <c r="K181" s="29"/>
    </row>
    <row r="182" spans="1:11" x14ac:dyDescent="0.3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>
        <v>57.461511670365518</v>
      </c>
      <c r="G182" s="12" cm="1">
        <f t="array" ref="G182">edadCalc(E182)</f>
        <v>32</v>
      </c>
      <c r="K182" s="29"/>
    </row>
    <row r="183" spans="1:11" x14ac:dyDescent="0.3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>
        <v>56.756489657566817</v>
      </c>
      <c r="G183" s="12" cm="1">
        <f t="array" ref="G183">edadCalc(E183)</f>
        <v>28</v>
      </c>
      <c r="K183" s="29"/>
    </row>
    <row r="184" spans="1:11" x14ac:dyDescent="0.3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>
        <v>48.445727179510286</v>
      </c>
      <c r="G184" s="12" cm="1">
        <f t="array" ref="G184">edadCalc(E184)</f>
        <v>36</v>
      </c>
      <c r="K184" s="29"/>
    </row>
    <row r="185" spans="1:11" x14ac:dyDescent="0.3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>
        <v>40.226934369279071</v>
      </c>
      <c r="G185" s="12" cm="1">
        <f t="array" ref="G185">edadCalc(E185)</f>
        <v>44</v>
      </c>
      <c r="K185" s="29"/>
    </row>
    <row r="186" spans="1:11" x14ac:dyDescent="0.3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>
        <v>55.300534903292863</v>
      </c>
      <c r="G186" s="12" cm="1">
        <f t="array" ref="G186">edadCalc(E186)</f>
        <v>34</v>
      </c>
      <c r="K186" s="29"/>
    </row>
    <row r="187" spans="1:11" x14ac:dyDescent="0.3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>
        <v>66.122802062272186</v>
      </c>
      <c r="G187" s="12" cm="1">
        <f t="array" ref="G187">edadCalc(E187)</f>
        <v>24</v>
      </c>
      <c r="K187" s="29"/>
    </row>
    <row r="188" spans="1:11" x14ac:dyDescent="0.3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>
        <v>56.380568080323478</v>
      </c>
      <c r="G188" s="12" cm="1">
        <f t="array" ref="G188">edadCalc(E188)</f>
        <v>33</v>
      </c>
      <c r="K188" s="29"/>
    </row>
    <row r="189" spans="1:11" x14ac:dyDescent="0.3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>
        <v>60.708537274902611</v>
      </c>
      <c r="G189" s="12" cm="1">
        <f t="array" ref="G189">edadCalc(E189)</f>
        <v>29</v>
      </c>
      <c r="K189" s="29"/>
    </row>
    <row r="190" spans="1:11" x14ac:dyDescent="0.3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>
        <v>60.708537274902611</v>
      </c>
      <c r="G190" s="12" cm="1">
        <f t="array" ref="G190">edadCalc(E190)</f>
        <v>29</v>
      </c>
      <c r="K190" s="29"/>
    </row>
    <row r="191" spans="1:11" x14ac:dyDescent="0.3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>
        <v>62.873980638676535</v>
      </c>
      <c r="G191" s="12" cm="1">
        <f t="array" ref="G191">edadCalc(E191)</f>
        <v>27</v>
      </c>
      <c r="K191" s="29"/>
    </row>
    <row r="192" spans="1:11" x14ac:dyDescent="0.3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>
        <v>57.797859179317832</v>
      </c>
      <c r="G192" s="12" cm="1">
        <f t="array" ref="G192">edadCalc(E192)</f>
        <v>27</v>
      </c>
      <c r="K192" s="29"/>
    </row>
    <row r="193" spans="1:11" x14ac:dyDescent="0.3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>
        <v>54.677010154380199</v>
      </c>
      <c r="G193" s="12" cm="1">
        <f t="array" ref="G193">edadCalc(E193)</f>
        <v>30</v>
      </c>
      <c r="K193" s="29"/>
    </row>
    <row r="194" spans="1:11" x14ac:dyDescent="0.3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>
        <v>49.918540883947905</v>
      </c>
      <c r="G194" s="12" cm="1">
        <f t="array" ref="G194">edadCalc(E194)</f>
        <v>39</v>
      </c>
      <c r="K194" s="29"/>
    </row>
    <row r="195" spans="1:11" x14ac:dyDescent="0.3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>
        <v>48.445727179510286</v>
      </c>
      <c r="G195" s="12" cm="1">
        <f t="array" ref="G195">edadCalc(E195)</f>
        <v>36</v>
      </c>
      <c r="K195" s="29"/>
    </row>
    <row r="196" spans="1:11" x14ac:dyDescent="0.3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>
        <v>50.52270681003921</v>
      </c>
      <c r="G196" s="12" cm="1">
        <f t="array" ref="G196">edadCalc(E196)</f>
        <v>34</v>
      </c>
      <c r="K196" s="29"/>
    </row>
    <row r="197" spans="1:11" x14ac:dyDescent="0.3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>
        <v>63.010592607496712</v>
      </c>
      <c r="G197" s="12" cm="1">
        <f t="array" ref="G197">edadCalc(E197)</f>
        <v>22</v>
      </c>
      <c r="K197" s="29"/>
    </row>
    <row r="198" spans="1:11" x14ac:dyDescent="0.3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>
        <v>60.923628189249044</v>
      </c>
      <c r="G198" s="12" cm="1">
        <f t="array" ref="G198">edadCalc(E198)</f>
        <v>24</v>
      </c>
      <c r="K198" s="29"/>
    </row>
    <row r="199" spans="1:11" x14ac:dyDescent="0.3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>
        <v>50.52270681003921</v>
      </c>
      <c r="G199" s="12" cm="1">
        <f t="array" ref="G199">edadCalc(E199)</f>
        <v>34</v>
      </c>
      <c r="K199" s="29"/>
    </row>
    <row r="200" spans="1:11" x14ac:dyDescent="0.3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>
        <v>65.039759654312832</v>
      </c>
      <c r="G200" s="12" cm="1">
        <f t="array" ref="G200">edadCalc(E200)</f>
        <v>25</v>
      </c>
      <c r="K200" s="29"/>
    </row>
    <row r="201" spans="1:11" x14ac:dyDescent="0.3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>
        <v>59.881520197985225</v>
      </c>
      <c r="G201" s="12" cm="1">
        <f t="array" ref="G201">edadCalc(E201)</f>
        <v>25</v>
      </c>
      <c r="K201" s="29"/>
    </row>
    <row r="202" spans="1:11" x14ac:dyDescent="0.3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>
        <v>33.233389454955429</v>
      </c>
      <c r="G202" s="12" cm="1">
        <f t="array" ref="G202">edadCalc(E202)</f>
        <v>51</v>
      </c>
      <c r="K202" s="29"/>
    </row>
    <row r="203" spans="1:11" x14ac:dyDescent="0.3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>
        <v>57.797859179317832</v>
      </c>
      <c r="G203" s="12" cm="1">
        <f t="array" ref="G203">edadCalc(E203)</f>
        <v>27</v>
      </c>
      <c r="K203" s="29"/>
    </row>
    <row r="204" spans="1:11" x14ac:dyDescent="0.3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>
        <v>34.214955596705444</v>
      </c>
      <c r="G204" s="12" cm="1">
        <f t="array" ref="G204">edadCalc(E204)</f>
        <v>50</v>
      </c>
      <c r="K204" s="29"/>
    </row>
    <row r="205" spans="1:11" x14ac:dyDescent="0.3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>
        <v>43.516970221614415</v>
      </c>
      <c r="G205" s="12" cm="1">
        <f t="array" ref="G205">edadCalc(E205)</f>
        <v>45</v>
      </c>
      <c r="K205" s="29"/>
    </row>
    <row r="206" spans="1:11" x14ac:dyDescent="0.3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>
        <v>32.258862212058318</v>
      </c>
      <c r="G206" s="12" cm="1">
        <f t="array" ref="G206">edadCalc(E206)</f>
        <v>52</v>
      </c>
      <c r="K206" s="29"/>
    </row>
    <row r="207" spans="1:11" x14ac:dyDescent="0.3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>
        <v>40.226934369279071</v>
      </c>
      <c r="G207" s="12" cm="1">
        <f t="array" ref="G207">edadCalc(E207)</f>
        <v>44</v>
      </c>
      <c r="K207" s="29"/>
    </row>
    <row r="208" spans="1:11" x14ac:dyDescent="0.3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>
        <v>49.484228029380745</v>
      </c>
      <c r="G208" s="12" cm="1">
        <f t="array" ref="G208">edadCalc(E208)</f>
        <v>35</v>
      </c>
      <c r="K208" s="29"/>
    </row>
    <row r="209" spans="1:11" x14ac:dyDescent="0.3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>
        <v>43.516970221614415</v>
      </c>
      <c r="G209" s="12" cm="1">
        <f t="array" ref="G209">edadCalc(E209)</f>
        <v>45</v>
      </c>
      <c r="K209" s="29"/>
    </row>
    <row r="210" spans="1:11" x14ac:dyDescent="0.3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>
        <v>55.300534903292863</v>
      </c>
      <c r="G210" s="12" cm="1">
        <f t="array" ref="G210">edadCalc(E210)</f>
        <v>34</v>
      </c>
      <c r="K210" s="29"/>
    </row>
    <row r="211" spans="1:11" x14ac:dyDescent="0.3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>
        <v>50.52270681003921</v>
      </c>
      <c r="G211" s="12" cm="1">
        <f t="array" ref="G211">edadCalc(E211)</f>
        <v>34</v>
      </c>
      <c r="K211" s="29"/>
    </row>
    <row r="212" spans="1:11" x14ac:dyDescent="0.3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>
        <v>52.066974680425012</v>
      </c>
      <c r="G212" s="12" cm="1">
        <f t="array" ref="G212">edadCalc(E212)</f>
        <v>37</v>
      </c>
      <c r="K212" s="29"/>
    </row>
    <row r="213" spans="1:11" x14ac:dyDescent="0.3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>
        <v>60.708537274902611</v>
      </c>
      <c r="G213" s="12" cm="1">
        <f t="array" ref="G213">edadCalc(E213)</f>
        <v>29</v>
      </c>
      <c r="K213" s="29"/>
    </row>
    <row r="214" spans="1:11" x14ac:dyDescent="0.3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>
        <v>47.408100340778319</v>
      </c>
      <c r="G214" s="12" cm="1">
        <f t="array" ref="G214">edadCalc(E214)</f>
        <v>37</v>
      </c>
      <c r="K214" s="29"/>
    </row>
    <row r="215" spans="1:11" x14ac:dyDescent="0.3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>
        <v>56.380568080323478</v>
      </c>
      <c r="G215" s="12" cm="1">
        <f t="array" ref="G215">edadCalc(E215)</f>
        <v>33</v>
      </c>
      <c r="K215" s="29"/>
    </row>
    <row r="216" spans="1:11" x14ac:dyDescent="0.3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>
        <v>65.039759654312832</v>
      </c>
      <c r="G216" s="12" cm="1">
        <f t="array" ref="G216">edadCalc(E216)</f>
        <v>25</v>
      </c>
      <c r="K216" s="29"/>
    </row>
    <row r="217" spans="1:11" x14ac:dyDescent="0.3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>
        <v>66.122802062272186</v>
      </c>
      <c r="G217" s="12" cm="1">
        <f t="array" ref="G217">edadCalc(E217)</f>
        <v>24</v>
      </c>
      <c r="K217" s="29"/>
    </row>
    <row r="218" spans="1:11" x14ac:dyDescent="0.3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>
        <v>59.625820995298447</v>
      </c>
      <c r="G218" s="12" cm="1">
        <f t="array" ref="G218">edadCalc(E218)</f>
        <v>30</v>
      </c>
      <c r="K218" s="29"/>
    </row>
    <row r="219" spans="1:11" x14ac:dyDescent="0.3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>
        <v>57.797859179317832</v>
      </c>
      <c r="G219" s="12" cm="1">
        <f t="array" ref="G219">edadCalc(E219)</f>
        <v>27</v>
      </c>
      <c r="K219" s="29"/>
    </row>
    <row r="220" spans="1:11" x14ac:dyDescent="0.3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>
        <v>52.066974680425012</v>
      </c>
      <c r="G220" s="12" cm="1">
        <f t="array" ref="G220">edadCalc(E220)</f>
        <v>37</v>
      </c>
      <c r="K220" s="29"/>
    </row>
    <row r="221" spans="1:11" x14ac:dyDescent="0.3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>
        <v>55.300534903292863</v>
      </c>
      <c r="G221" s="12" cm="1">
        <f t="array" ref="G221">edadCalc(E221)</f>
        <v>34</v>
      </c>
      <c r="K221" s="29"/>
    </row>
    <row r="222" spans="1:11" x14ac:dyDescent="0.3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>
        <v>58.839653070361329</v>
      </c>
      <c r="G222" s="12" cm="1">
        <f t="array" ref="G222">edadCalc(E222)</f>
        <v>26</v>
      </c>
      <c r="K222" s="29"/>
    </row>
    <row r="223" spans="1:11" x14ac:dyDescent="0.3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>
        <v>45.641752242691531</v>
      </c>
      <c r="G223" s="12" cm="1">
        <f t="array" ref="G223">edadCalc(E223)</f>
        <v>43</v>
      </c>
      <c r="K223" s="29"/>
    </row>
    <row r="224" spans="1:11" x14ac:dyDescent="0.3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>
        <v>43.516970221614415</v>
      </c>
      <c r="G224" s="12" cm="1">
        <f t="array" ref="G224">edadCalc(E224)</f>
        <v>45</v>
      </c>
      <c r="K224" s="29"/>
    </row>
    <row r="225" spans="1:11" x14ac:dyDescent="0.3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>
        <v>37.224869061812825</v>
      </c>
      <c r="G225" s="12" cm="1">
        <f t="array" ref="G225">edadCalc(E225)</f>
        <v>51</v>
      </c>
      <c r="K225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D39"/>
  <sheetViews>
    <sheetView workbookViewId="0">
      <selection activeCell="C5" sqref="C5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</cols>
  <sheetData>
    <row r="2" spans="2:4" ht="30" customHeight="1" x14ac:dyDescent="0.35">
      <c r="B2" s="19" t="s">
        <v>0</v>
      </c>
      <c r="C2" s="21" t="s">
        <v>15</v>
      </c>
      <c r="D2" s="22"/>
    </row>
    <row r="3" spans="2:4" ht="14.5" customHeight="1" x14ac:dyDescent="0.35">
      <c r="B3" s="20"/>
      <c r="C3" s="17" t="s">
        <v>5</v>
      </c>
      <c r="D3" s="17" t="s">
        <v>6</v>
      </c>
    </row>
    <row r="4" spans="2:4" x14ac:dyDescent="0.35">
      <c r="B4" s="12" cm="1">
        <f t="array" ref="B4:B39">_xlfn._xlws.SORT(_xlfn.UNIQUE('Empleados activos'!G2:G225))</f>
        <v>22</v>
      </c>
    </row>
    <row r="5" spans="2:4" x14ac:dyDescent="0.35">
      <c r="B5" s="12">
        <v>23</v>
      </c>
    </row>
    <row r="6" spans="2:4" x14ac:dyDescent="0.35">
      <c r="B6" s="12">
        <v>24</v>
      </c>
    </row>
    <row r="7" spans="2:4" x14ac:dyDescent="0.35">
      <c r="B7" s="12">
        <v>25</v>
      </c>
    </row>
    <row r="8" spans="2:4" x14ac:dyDescent="0.35">
      <c r="B8" s="12">
        <v>26</v>
      </c>
    </row>
    <row r="9" spans="2:4" x14ac:dyDescent="0.35">
      <c r="B9" s="12">
        <v>27</v>
      </c>
    </row>
    <row r="10" spans="2:4" x14ac:dyDescent="0.35">
      <c r="B10" s="12">
        <v>28</v>
      </c>
    </row>
    <row r="11" spans="2:4" x14ac:dyDescent="0.35">
      <c r="B11" s="12">
        <v>29</v>
      </c>
    </row>
    <row r="12" spans="2:4" x14ac:dyDescent="0.35">
      <c r="B12" s="12">
        <v>30</v>
      </c>
    </row>
    <row r="13" spans="2:4" x14ac:dyDescent="0.35">
      <c r="B13" s="12">
        <v>31</v>
      </c>
    </row>
    <row r="14" spans="2:4" x14ac:dyDescent="0.35">
      <c r="B14" s="12">
        <v>32</v>
      </c>
    </row>
    <row r="15" spans="2:4" x14ac:dyDescent="0.35">
      <c r="B15" s="12">
        <v>33</v>
      </c>
    </row>
    <row r="16" spans="2:4" x14ac:dyDescent="0.35">
      <c r="B16" s="12">
        <v>34</v>
      </c>
    </row>
    <row r="17" spans="2:2" x14ac:dyDescent="0.35">
      <c r="B17" s="12">
        <v>35</v>
      </c>
    </row>
    <row r="18" spans="2:2" x14ac:dyDescent="0.35">
      <c r="B18" s="12">
        <v>36</v>
      </c>
    </row>
    <row r="19" spans="2:2" x14ac:dyDescent="0.35">
      <c r="B19" s="12">
        <v>37</v>
      </c>
    </row>
    <row r="20" spans="2:2" x14ac:dyDescent="0.35">
      <c r="B20" s="12">
        <v>38</v>
      </c>
    </row>
    <row r="21" spans="2:2" x14ac:dyDescent="0.35">
      <c r="B21" s="12">
        <v>39</v>
      </c>
    </row>
    <row r="22" spans="2:2" x14ac:dyDescent="0.35">
      <c r="B22" s="12">
        <v>40</v>
      </c>
    </row>
    <row r="23" spans="2:2" x14ac:dyDescent="0.35">
      <c r="B23" s="12">
        <v>41</v>
      </c>
    </row>
    <row r="24" spans="2:2" x14ac:dyDescent="0.35">
      <c r="B24" s="12">
        <v>42</v>
      </c>
    </row>
    <row r="25" spans="2:2" x14ac:dyDescent="0.35">
      <c r="B25" s="12">
        <v>43</v>
      </c>
    </row>
    <row r="26" spans="2:2" x14ac:dyDescent="0.35">
      <c r="B26" s="12">
        <v>44</v>
      </c>
    </row>
    <row r="27" spans="2:2" x14ac:dyDescent="0.35">
      <c r="B27" s="12">
        <v>45</v>
      </c>
    </row>
    <row r="28" spans="2:2" x14ac:dyDescent="0.35">
      <c r="B28" s="12">
        <v>46</v>
      </c>
    </row>
    <row r="29" spans="2:2" x14ac:dyDescent="0.35">
      <c r="B29" s="12">
        <v>47</v>
      </c>
    </row>
    <row r="30" spans="2:2" x14ac:dyDescent="0.35">
      <c r="B30" s="12">
        <v>48</v>
      </c>
    </row>
    <row r="31" spans="2:2" x14ac:dyDescent="0.35">
      <c r="B31" s="12">
        <v>49</v>
      </c>
    </row>
    <row r="32" spans="2:2" x14ac:dyDescent="0.35">
      <c r="B32" s="12">
        <v>50</v>
      </c>
    </row>
    <row r="33" spans="2:2" x14ac:dyDescent="0.35">
      <c r="B33" s="12">
        <v>51</v>
      </c>
    </row>
    <row r="34" spans="2:2" x14ac:dyDescent="0.35">
      <c r="B34" s="12">
        <v>52</v>
      </c>
    </row>
    <row r="35" spans="2:2" x14ac:dyDescent="0.35">
      <c r="B35" s="12">
        <v>54</v>
      </c>
    </row>
    <row r="36" spans="2:2" x14ac:dyDescent="0.35">
      <c r="B36" s="12">
        <v>56</v>
      </c>
    </row>
    <row r="37" spans="2:2" x14ac:dyDescent="0.35">
      <c r="B37" s="12">
        <v>57</v>
      </c>
    </row>
    <row r="38" spans="2:2" x14ac:dyDescent="0.35">
      <c r="B38" s="12">
        <v>58</v>
      </c>
    </row>
    <row r="39" spans="2:2" x14ac:dyDescent="0.35">
      <c r="B39" s="12">
        <v>62</v>
      </c>
    </row>
  </sheetData>
  <mergeCells count="2">
    <mergeCell ref="B2:B3"/>
    <mergeCell ref="C2: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D97"/>
  <sheetViews>
    <sheetView topLeftCell="A81" workbookViewId="0">
      <selection activeCell="C94" sqref="C94"/>
    </sheetView>
  </sheetViews>
  <sheetFormatPr baseColWidth="10" defaultRowHeight="14.5" x14ac:dyDescent="0.35"/>
  <cols>
    <col min="1" max="1" width="11.81640625" bestFit="1" customWidth="1"/>
    <col min="2" max="3" width="11" bestFit="1" customWidth="1"/>
    <col min="4" max="4" width="27.7265625" customWidth="1"/>
  </cols>
  <sheetData>
    <row r="1" spans="1:4" x14ac:dyDescent="0.35">
      <c r="A1" s="30" t="s">
        <v>18</v>
      </c>
      <c r="B1" s="30" t="s">
        <v>5</v>
      </c>
      <c r="C1" s="31" t="s">
        <v>6</v>
      </c>
      <c r="D1" s="30" t="s">
        <v>21</v>
      </c>
    </row>
    <row r="2" spans="1:4" x14ac:dyDescent="0.35">
      <c r="A2" s="12">
        <v>2025</v>
      </c>
      <c r="B2" s="48" cm="1">
        <f t="array" ref="B2">MuertesEnAnio3("Masculino", A2, "PENSIONADOS", Hombres!$A$1:$DW$117, Mujeres!$A$1:$DW$117, Pensionados!$A$2:$G$166,'Empleados activos'!$A$2:$I$225)</f>
        <v>2.4410504000000008</v>
      </c>
      <c r="C2" s="48" cm="1">
        <f t="array" ref="C2">MuertesEnAnio3("Femenino", A2, "PENSIONADOS", Hombres!$A$1:$DW$117, Mujeres!$A$1:$DW$117, Pensionados!$A$2:$G$166,'Empleados activos'!$A$2:$I$225)</f>
        <v>1.9961580999999997</v>
      </c>
      <c r="D2" s="48">
        <f>B2+C2</f>
        <v>4.4372085000000006</v>
      </c>
    </row>
    <row r="3" spans="1:4" x14ac:dyDescent="0.35">
      <c r="A3" s="12">
        <f>A2+1</f>
        <v>2026</v>
      </c>
      <c r="B3" s="48" cm="1">
        <f t="array" ref="B3">MuertesEnAnio3("Masculino", A3, "PENSIONADOS", Hombres!$A$1:$DW$117, Mujeres!$A$1:$DW$117, Pensionados!$A$2:$G$166,'Empleados activos'!$A$2:$I$225)</f>
        <v>2.4170467999999996</v>
      </c>
      <c r="C3" s="48" cm="1">
        <f t="array" ref="C3">MuertesEnAnio3("Femenino", A3, "PENSIONADOS", Hombres!$A$1:$DW$117, Mujeres!$A$1:$DW$117, Pensionados!$A$2:$G$166,'Empleados activos'!$A$2:$I$225)</f>
        <v>1.9694662000000001</v>
      </c>
      <c r="D3" s="48">
        <f>B3+C3</f>
        <v>4.3865129999999999</v>
      </c>
    </row>
    <row r="4" spans="1:4" x14ac:dyDescent="0.35">
      <c r="A4" s="12">
        <f t="shared" ref="A4:A67" si="0">A3+1</f>
        <v>2027</v>
      </c>
      <c r="B4" s="48" cm="1">
        <f t="array" ref="B4">MuertesEnAnio3("Masculino", A4, "PENSIONADOS", Hombres!$A$1:$DW$117, Mujeres!$A$1:$DW$117, Pensionados!$A$2:$G$166,'Empleados activos'!$A$2:$I$225)</f>
        <v>2.4449151597424215</v>
      </c>
      <c r="C4" s="48" cm="1">
        <f t="array" ref="C4">MuertesEnAnio3("Femenino", A4, "PENSIONADOS", Hombres!$A$1:$DW$117, Mujeres!$A$1:$DW$117, Pensionados!$A$2:$G$166,'Empleados activos'!$A$2:$I$225)</f>
        <v>2.0754773407752594</v>
      </c>
      <c r="D4" s="48">
        <f t="shared" ref="D3:D66" si="1">B4+C4</f>
        <v>4.5203925005176808</v>
      </c>
    </row>
    <row r="5" spans="1:4" x14ac:dyDescent="0.35">
      <c r="A5" s="12">
        <f t="shared" si="0"/>
        <v>2028</v>
      </c>
      <c r="B5" s="48" cm="1">
        <f t="array" ref="B5">MuertesEnAnio3("Masculino", A5, "PENSIONADOS", Hombres!$A$1:$DW$117, Mujeres!$A$1:$DW$117, Pensionados!$A$2:$G$166,'Empleados activos'!$A$2:$I$225)</f>
        <v>2.4855431677160724</v>
      </c>
      <c r="C5" s="48" cm="1">
        <f t="array" ref="C5">MuertesEnAnio3("Femenino", A5, "PENSIONADOS", Hombres!$A$1:$DW$117, Mujeres!$A$1:$DW$117, Pensionados!$A$2:$G$166,'Empleados activos'!$A$2:$I$225)</f>
        <v>2.1789096246284827</v>
      </c>
      <c r="D5" s="48">
        <f t="shared" si="1"/>
        <v>4.6644527923445551</v>
      </c>
    </row>
    <row r="6" spans="1:4" x14ac:dyDescent="0.35">
      <c r="A6" s="12">
        <f t="shared" si="0"/>
        <v>2029</v>
      </c>
      <c r="B6" s="48" cm="1">
        <f t="array" ref="B6">MuertesEnAnio3("Masculino", A6, "PENSIONADOS", Hombres!$A$1:$DW$117, Mujeres!$A$1:$DW$117, Pensionados!$A$2:$G$166,'Empleados activos'!$A$2:$I$225)</f>
        <v>2.5104936339347548</v>
      </c>
      <c r="C6" s="48" cm="1">
        <f t="array" ref="C6">MuertesEnAnio3("Femenino", A6, "PENSIONADOS", Hombres!$A$1:$DW$117, Mujeres!$A$1:$DW$117, Pensionados!$A$2:$G$166,'Empleados activos'!$A$2:$I$225)</f>
        <v>2.2832531449882771</v>
      </c>
      <c r="D6" s="48">
        <f t="shared" si="1"/>
        <v>4.7937467789230315</v>
      </c>
    </row>
    <row r="7" spans="1:4" x14ac:dyDescent="0.35">
      <c r="A7" s="12">
        <f t="shared" si="0"/>
        <v>2030</v>
      </c>
      <c r="B7" s="48" cm="1">
        <f t="array" ref="B7">MuertesEnAnio3("Masculino", A7, "PENSIONADOS", Hombres!$A$1:$DW$117, Mujeres!$A$1:$DW$117, Pensionados!$A$2:$G$166,'Empleados activos'!$A$2:$I$225)</f>
        <v>2.5347593026773634</v>
      </c>
      <c r="C7" s="48" cm="1">
        <f t="array" ref="C7">MuertesEnAnio3("Femenino", A7, "PENSIONADOS", Hombres!$A$1:$DW$117, Mujeres!$A$1:$DW$117, Pensionados!$A$2:$G$166,'Empleados activos'!$A$2:$I$225)</f>
        <v>2.3853002105991608</v>
      </c>
      <c r="D7" s="48">
        <f t="shared" si="1"/>
        <v>4.9200595132765237</v>
      </c>
    </row>
    <row r="8" spans="1:4" x14ac:dyDescent="0.35">
      <c r="A8" s="12">
        <f t="shared" si="0"/>
        <v>2031</v>
      </c>
      <c r="B8" s="48" cm="1">
        <f t="array" ref="B8">MuertesEnAnio3("Masculino", A8, "PENSIONADOS", Hombres!$A$1:$DW$117, Mujeres!$A$1:$DW$117, Pensionados!$A$2:$G$166,'Empleados activos'!$A$2:$I$225)</f>
        <v>2.5566586650766294</v>
      </c>
      <c r="C8" s="48" cm="1">
        <f t="array" ref="C8">MuertesEnAnio3("Femenino", A8, "PENSIONADOS", Hombres!$A$1:$DW$117, Mujeres!$A$1:$DW$117, Pensionados!$A$2:$G$166,'Empleados activos'!$A$2:$I$225)</f>
        <v>2.489091046806605</v>
      </c>
      <c r="D8" s="48">
        <f t="shared" si="1"/>
        <v>5.045749711883234</v>
      </c>
    </row>
    <row r="9" spans="1:4" x14ac:dyDescent="0.35">
      <c r="A9" s="12">
        <f t="shared" si="0"/>
        <v>2032</v>
      </c>
      <c r="B9" s="48" cm="1">
        <f t="array" ref="B9">MuertesEnAnio3("Masculino", A9, "PENSIONADOS", Hombres!$A$1:$DW$117, Mujeres!$A$1:$DW$117, Pensionados!$A$2:$G$166,'Empleados activos'!$A$2:$I$225)</f>
        <v>2.577033099998252</v>
      </c>
      <c r="C9" s="48" cm="1">
        <f t="array" ref="C9">MuertesEnAnio3("Femenino", A9, "PENSIONADOS", Hombres!$A$1:$DW$117, Mujeres!$A$1:$DW$117, Pensionados!$A$2:$G$166,'Empleados activos'!$A$2:$I$225)</f>
        <v>2.5882646485064402</v>
      </c>
      <c r="D9" s="48">
        <f t="shared" si="1"/>
        <v>5.1652977485046918</v>
      </c>
    </row>
    <row r="10" spans="1:4" x14ac:dyDescent="0.35">
      <c r="A10" s="12">
        <f t="shared" si="0"/>
        <v>2033</v>
      </c>
      <c r="B10" s="48" cm="1">
        <f t="array" ref="B10">MuertesEnAnio3("Masculino", A10, "PENSIONADOS", Hombres!$A$1:$DW$117, Mujeres!$A$1:$DW$117, Pensionados!$A$2:$G$166,'Empleados activos'!$A$2:$I$225)</f>
        <v>2.5919788024152366</v>
      </c>
      <c r="C10" s="48" cm="1">
        <f t="array" ref="C10">MuertesEnAnio3("Femenino", A10, "PENSIONADOS", Hombres!$A$1:$DW$117, Mujeres!$A$1:$DW$117, Pensionados!$A$2:$G$166,'Empleados activos'!$A$2:$I$225)</f>
        <v>2.682281981004365</v>
      </c>
      <c r="D10" s="48">
        <f t="shared" si="1"/>
        <v>5.2742607834196011</v>
      </c>
    </row>
    <row r="11" spans="1:4" x14ac:dyDescent="0.35">
      <c r="A11" s="12">
        <f t="shared" si="0"/>
        <v>2034</v>
      </c>
      <c r="B11" s="48" cm="1">
        <f t="array" ref="B11">MuertesEnAnio3("Masculino", A11, "PENSIONADOS", Hombres!$A$1:$DW$117, Mujeres!$A$1:$DW$117, Pensionados!$A$2:$G$166,'Empleados activos'!$A$2:$I$225)</f>
        <v>2.6038445332859061</v>
      </c>
      <c r="C11" s="48" cm="1">
        <f t="array" ref="C11">MuertesEnAnio3("Femenino", A11, "PENSIONADOS", Hombres!$A$1:$DW$117, Mujeres!$A$1:$DW$117, Pensionados!$A$2:$G$166,'Empleados activos'!$A$2:$I$225)</f>
        <v>2.7727770282781283</v>
      </c>
      <c r="D11" s="48">
        <f t="shared" si="1"/>
        <v>5.3766215615640345</v>
      </c>
    </row>
    <row r="12" spans="1:4" x14ac:dyDescent="0.35">
      <c r="A12" s="12">
        <f t="shared" si="0"/>
        <v>2035</v>
      </c>
      <c r="B12" s="48" cm="1">
        <f t="array" ref="B12">MuertesEnAnio3("Masculino", A12, "PENSIONADOS", Hombres!$A$1:$DW$117, Mujeres!$A$1:$DW$117, Pensionados!$A$2:$G$166,'Empleados activos'!$A$2:$I$225)</f>
        <v>2.60812921535556</v>
      </c>
      <c r="C12" s="48" cm="1">
        <f t="array" ref="C12">MuertesEnAnio3("Femenino", A12, "PENSIONADOS", Hombres!$A$1:$DW$117, Mujeres!$A$1:$DW$117, Pensionados!$A$2:$G$166,'Empleados activos'!$A$2:$I$225)</f>
        <v>2.8532137040761056</v>
      </c>
      <c r="D12" s="48">
        <f t="shared" si="1"/>
        <v>5.4613429194316652</v>
      </c>
    </row>
    <row r="13" spans="1:4" x14ac:dyDescent="0.35">
      <c r="A13" s="12">
        <f t="shared" si="0"/>
        <v>2036</v>
      </c>
      <c r="B13" s="48" cm="1">
        <f t="array" ref="B13">MuertesEnAnio3("Masculino", A13, "PENSIONADOS", Hombres!$A$1:$DW$117, Mujeres!$A$1:$DW$117, Pensionados!$A$2:$G$166,'Empleados activos'!$A$2:$I$225)</f>
        <v>2.621534242079397</v>
      </c>
      <c r="C13" s="48" cm="1">
        <f t="array" ref="C13">MuertesEnAnio3("Femenino", A13, "PENSIONADOS", Hombres!$A$1:$DW$117, Mujeres!$A$1:$DW$117, Pensionados!$A$2:$G$166,'Empleados activos'!$A$2:$I$225)</f>
        <v>2.9273510421595605</v>
      </c>
      <c r="D13" s="48">
        <f t="shared" si="1"/>
        <v>5.548885284238958</v>
      </c>
    </row>
    <row r="14" spans="1:4" x14ac:dyDescent="0.35">
      <c r="A14" s="12">
        <f t="shared" si="0"/>
        <v>2037</v>
      </c>
      <c r="B14" s="48" cm="1">
        <f t="array" ref="B14">MuertesEnAnio3("Masculino", A14, "PENSIONADOS", Hombres!$A$1:$DW$117, Mujeres!$A$1:$DW$117, Pensionados!$A$2:$G$166,'Empleados activos'!$A$2:$I$225)</f>
        <v>2.6193106825422565</v>
      </c>
      <c r="C14" s="48" cm="1">
        <f t="array" ref="C14">MuertesEnAnio3("Femenino", A14, "PENSIONADOS", Hombres!$A$1:$DW$117, Mujeres!$A$1:$DW$117, Pensionados!$A$2:$G$166,'Empleados activos'!$A$2:$I$225)</f>
        <v>2.9986855385342648</v>
      </c>
      <c r="D14" s="48">
        <f t="shared" si="1"/>
        <v>5.6179962210765213</v>
      </c>
    </row>
    <row r="15" spans="1:4" x14ac:dyDescent="0.35">
      <c r="A15" s="12">
        <f t="shared" si="0"/>
        <v>2038</v>
      </c>
      <c r="B15" s="48" cm="1">
        <f t="array" ref="B15">MuertesEnAnio3("Masculino", A15, "PENSIONADOS", Hombres!$A$1:$DW$117, Mujeres!$A$1:$DW$117, Pensionados!$A$2:$G$166,'Empleados activos'!$A$2:$I$225)</f>
        <v>2.6236726988700001</v>
      </c>
      <c r="C15" s="48" cm="1">
        <f t="array" ref="C15">MuertesEnAnio3("Femenino", A15, "PENSIONADOS", Hombres!$A$1:$DW$117, Mujeres!$A$1:$DW$117, Pensionados!$A$2:$G$166,'Empleados activos'!$A$2:$I$225)</f>
        <v>3.0681377176475553</v>
      </c>
      <c r="D15" s="48">
        <f t="shared" si="1"/>
        <v>5.6918104165175549</v>
      </c>
    </row>
    <row r="16" spans="1:4" x14ac:dyDescent="0.35">
      <c r="A16" s="12">
        <f t="shared" si="0"/>
        <v>2039</v>
      </c>
      <c r="B16" s="48" cm="1">
        <f t="array" ref="B16">MuertesEnAnio3("Masculino", A16, "PENSIONADOS", Hombres!$A$1:$DW$117, Mujeres!$A$1:$DW$117, Pensionados!$A$2:$G$166,'Empleados activos'!$A$2:$I$225)</f>
        <v>2.6347465087311015</v>
      </c>
      <c r="C16" s="48" cm="1">
        <f t="array" ref="C16">MuertesEnAnio3("Femenino", A16, "PENSIONADOS", Hombres!$A$1:$DW$117, Mujeres!$A$1:$DW$117, Pensionados!$A$2:$G$166,'Empleados activos'!$A$2:$I$225)</f>
        <v>3.1275376575205232</v>
      </c>
      <c r="D16" s="48">
        <f t="shared" si="1"/>
        <v>5.7622841662516251</v>
      </c>
    </row>
    <row r="17" spans="1:4" x14ac:dyDescent="0.35">
      <c r="A17" s="12">
        <f t="shared" si="0"/>
        <v>2040</v>
      </c>
      <c r="B17" s="48" cm="1">
        <f t="array" ref="B17">MuertesEnAnio3("Masculino", A17, "PENSIONADOS", Hombres!$A$1:$DW$117, Mujeres!$A$1:$DW$117, Pensionados!$A$2:$G$166,'Empleados activos'!$A$2:$I$225)</f>
        <v>2.6428813738949573</v>
      </c>
      <c r="C17" s="48" cm="1">
        <f t="array" ref="C17">MuertesEnAnio3("Femenino", A17, "PENSIONADOS", Hombres!$A$1:$DW$117, Mujeres!$A$1:$DW$117, Pensionados!$A$2:$G$166,'Empleados activos'!$A$2:$I$225)</f>
        <v>3.175459096786454</v>
      </c>
      <c r="D17" s="48">
        <f t="shared" si="1"/>
        <v>5.8183404706814112</v>
      </c>
    </row>
    <row r="18" spans="1:4" x14ac:dyDescent="0.35">
      <c r="A18" s="12">
        <f t="shared" si="0"/>
        <v>2041</v>
      </c>
      <c r="B18" s="48" cm="1">
        <f t="array" ref="B18">MuertesEnAnio3("Masculino", A18, "PENSIONADOS", Hombres!$A$1:$DW$117, Mujeres!$A$1:$DW$117, Pensionados!$A$2:$G$166,'Empleados activos'!$A$2:$I$225)</f>
        <v>2.6152790879095087</v>
      </c>
      <c r="C18" s="48" cm="1">
        <f t="array" ref="C18">MuertesEnAnio3("Femenino", A18, "PENSIONADOS", Hombres!$A$1:$DW$117, Mujeres!$A$1:$DW$117, Pensionados!$A$2:$G$166,'Empleados activos'!$A$2:$I$225)</f>
        <v>3.207067352787166</v>
      </c>
      <c r="D18" s="48">
        <f t="shared" si="1"/>
        <v>5.8223464406966752</v>
      </c>
    </row>
    <row r="19" spans="1:4" x14ac:dyDescent="0.35">
      <c r="A19" s="12">
        <f t="shared" si="0"/>
        <v>2042</v>
      </c>
      <c r="B19" s="48" cm="1">
        <f t="array" ref="B19">MuertesEnAnio3("Masculino", A19, "PENSIONADOS", Hombres!$A$1:$DW$117, Mujeres!$A$1:$DW$117, Pensionados!$A$2:$G$166,'Empleados activos'!$A$2:$I$225)</f>
        <v>2.6008301871555157</v>
      </c>
      <c r="C19" s="48" cm="1">
        <f t="array" ref="C19">MuertesEnAnio3("Femenino", A19, "PENSIONADOS", Hombres!$A$1:$DW$117, Mujeres!$A$1:$DW$117, Pensionados!$A$2:$G$166,'Empleados activos'!$A$2:$I$225)</f>
        <v>3.236049803881627</v>
      </c>
      <c r="D19" s="48">
        <f t="shared" si="1"/>
        <v>5.8368799910371427</v>
      </c>
    </row>
    <row r="20" spans="1:4" x14ac:dyDescent="0.35">
      <c r="A20" s="12">
        <f t="shared" si="0"/>
        <v>2043</v>
      </c>
      <c r="B20" s="48" cm="1">
        <f t="array" ref="B20">MuertesEnAnio3("Masculino", A20, "PENSIONADOS", Hombres!$A$1:$DW$117, Mujeres!$A$1:$DW$117, Pensionados!$A$2:$G$166,'Empleados activos'!$A$2:$I$225)</f>
        <v>2.5537041000407319</v>
      </c>
      <c r="C20" s="48" cm="1">
        <f t="array" ref="C20">MuertesEnAnio3("Femenino", A20, "PENSIONADOS", Hombres!$A$1:$DW$117, Mujeres!$A$1:$DW$117, Pensionados!$A$2:$G$166,'Empleados activos'!$A$2:$I$225)</f>
        <v>3.2569412517669902</v>
      </c>
      <c r="D20" s="48">
        <f t="shared" si="1"/>
        <v>5.8106453518077217</v>
      </c>
    </row>
    <row r="21" spans="1:4" x14ac:dyDescent="0.35">
      <c r="A21" s="12">
        <f t="shared" si="0"/>
        <v>2044</v>
      </c>
      <c r="B21" s="48" cm="1">
        <f t="array" ref="B21">MuertesEnAnio3("Masculino", A21, "PENSIONADOS", Hombres!$A$1:$DW$117, Mujeres!$A$1:$DW$117, Pensionados!$A$2:$G$166,'Empleados activos'!$A$2:$I$225)</f>
        <v>2.5308942909940577</v>
      </c>
      <c r="C21" s="48" cm="1">
        <f t="array" ref="C21">MuertesEnAnio3("Femenino", A21, "PENSIONADOS", Hombres!$A$1:$DW$117, Mujeres!$A$1:$DW$117, Pensionados!$A$2:$G$166,'Empleados activos'!$A$2:$I$225)</f>
        <v>3.254333448157575</v>
      </c>
      <c r="D21" s="48">
        <f t="shared" si="1"/>
        <v>5.7852277391516331</v>
      </c>
    </row>
    <row r="22" spans="1:4" x14ac:dyDescent="0.35">
      <c r="A22" s="12">
        <f t="shared" si="0"/>
        <v>2045</v>
      </c>
      <c r="B22" s="48" cm="1">
        <f t="array" ref="B22">MuertesEnAnio3("Masculino", A22, "PENSIONADOS", Hombres!$A$1:$DW$117, Mujeres!$A$1:$DW$117, Pensionados!$A$2:$G$166,'Empleados activos'!$A$2:$I$225)</f>
        <v>2.4806946928903573</v>
      </c>
      <c r="C22" s="48" cm="1">
        <f t="array" ref="C22">MuertesEnAnio3("Femenino", A22, "PENSIONADOS", Hombres!$A$1:$DW$117, Mujeres!$A$1:$DW$117, Pensionados!$A$2:$G$166,'Empleados activos'!$A$2:$I$225)</f>
        <v>3.2418635157798708</v>
      </c>
      <c r="D22" s="48">
        <f t="shared" si="1"/>
        <v>5.722558208670228</v>
      </c>
    </row>
    <row r="23" spans="1:4" x14ac:dyDescent="0.35">
      <c r="A23" s="12">
        <f t="shared" si="0"/>
        <v>2046</v>
      </c>
      <c r="B23" s="48" cm="1">
        <f t="array" ref="B23">MuertesEnAnio3("Masculino", A23, "PENSIONADOS", Hombres!$A$1:$DW$117, Mujeres!$A$1:$DW$117, Pensionados!$A$2:$G$166,'Empleados activos'!$A$2:$I$225)</f>
        <v>2.4738648919958455</v>
      </c>
      <c r="C23" s="48" cm="1">
        <f t="array" ref="C23">MuertesEnAnio3("Femenino", A23, "PENSIONADOS", Hombres!$A$1:$DW$117, Mujeres!$A$1:$DW$117, Pensionados!$A$2:$G$166,'Empleados activos'!$A$2:$I$225)</f>
        <v>3.2125487999086486</v>
      </c>
      <c r="D23" s="48">
        <f t="shared" si="1"/>
        <v>5.6864136919044945</v>
      </c>
    </row>
    <row r="24" spans="1:4" x14ac:dyDescent="0.35">
      <c r="A24" s="12">
        <f t="shared" si="0"/>
        <v>2047</v>
      </c>
      <c r="B24" s="48" cm="1">
        <f t="array" ref="B24">MuertesEnAnio3("Masculino", A24, "PENSIONADOS", Hombres!$A$1:$DW$117, Mujeres!$A$1:$DW$117, Pensionados!$A$2:$G$166,'Empleados activos'!$A$2:$I$225)</f>
        <v>2.4116197427808856</v>
      </c>
      <c r="C24" s="48" cm="1">
        <f t="array" ref="C24">MuertesEnAnio3("Femenino", A24, "PENSIONADOS", Hombres!$A$1:$DW$117, Mujeres!$A$1:$DW$117, Pensionados!$A$2:$G$166,'Empleados activos'!$A$2:$I$225)</f>
        <v>3.1681503143429572</v>
      </c>
      <c r="D24" s="48">
        <f t="shared" si="1"/>
        <v>5.5797700571238433</v>
      </c>
    </row>
    <row r="25" spans="1:4" x14ac:dyDescent="0.35">
      <c r="A25" s="12">
        <f t="shared" si="0"/>
        <v>2048</v>
      </c>
      <c r="B25" s="48" cm="1">
        <f t="array" ref="B25">MuertesEnAnio3("Masculino", A25, "PENSIONADOS", Hombres!$A$1:$DW$117, Mujeres!$A$1:$DW$117, Pensionados!$A$2:$G$166,'Empleados activos'!$A$2:$I$225)</f>
        <v>2.3496428130704636</v>
      </c>
      <c r="C25" s="48" cm="1">
        <f t="array" ref="C25">MuertesEnAnio3("Femenino", A25, "PENSIONADOS", Hombres!$A$1:$DW$117, Mujeres!$A$1:$DW$117, Pensionados!$A$2:$G$166,'Empleados activos'!$A$2:$I$225)</f>
        <v>3.1323942094279213</v>
      </c>
      <c r="D25" s="48">
        <f t="shared" si="1"/>
        <v>5.4820370224983854</v>
      </c>
    </row>
    <row r="26" spans="1:4" x14ac:dyDescent="0.35">
      <c r="A26" s="12">
        <f t="shared" si="0"/>
        <v>2049</v>
      </c>
      <c r="B26" s="48" cm="1">
        <f t="array" ref="B26">MuertesEnAnio3("Masculino", A26, "PENSIONADOS", Hombres!$A$1:$DW$117, Mujeres!$A$1:$DW$117, Pensionados!$A$2:$G$166,'Empleados activos'!$A$2:$I$225)</f>
        <v>2.2818748823826489</v>
      </c>
      <c r="C26" s="48" cm="1">
        <f t="array" ref="C26">MuertesEnAnio3("Femenino", A26, "PENSIONADOS", Hombres!$A$1:$DW$117, Mujeres!$A$1:$DW$117, Pensionados!$A$2:$G$166,'Empleados activos'!$A$2:$I$225)</f>
        <v>3.0877234903811202</v>
      </c>
      <c r="D26" s="48">
        <f t="shared" si="1"/>
        <v>5.3695983727637691</v>
      </c>
    </row>
    <row r="27" spans="1:4" x14ac:dyDescent="0.35">
      <c r="A27" s="12">
        <f t="shared" si="0"/>
        <v>2050</v>
      </c>
      <c r="B27" s="48" cm="1">
        <f t="array" ref="B27">MuertesEnAnio3("Masculino", A27, "PENSIONADOS", Hombres!$A$1:$DW$117, Mujeres!$A$1:$DW$117, Pensionados!$A$2:$G$166,'Empleados activos'!$A$2:$I$225)</f>
        <v>2.2150321290704129</v>
      </c>
      <c r="C27" s="48" cm="1">
        <f t="array" ref="C27">MuertesEnAnio3("Femenino", A27, "PENSIONADOS", Hombres!$A$1:$DW$117, Mujeres!$A$1:$DW$117, Pensionados!$A$2:$G$166,'Empleados activos'!$A$2:$I$225)</f>
        <v>3.0058576243064419</v>
      </c>
      <c r="D27" s="48">
        <f t="shared" si="1"/>
        <v>5.2208897533768548</v>
      </c>
    </row>
    <row r="28" spans="1:4" x14ac:dyDescent="0.35">
      <c r="A28" s="12">
        <f t="shared" si="0"/>
        <v>2051</v>
      </c>
      <c r="B28" s="48" cm="1">
        <f t="array" ref="B28">MuertesEnAnio3("Masculino", A28, "PENSIONADOS", Hombres!$A$1:$DW$117, Mujeres!$A$1:$DW$117, Pensionados!$A$2:$G$166,'Empleados activos'!$A$2:$I$225)</f>
        <v>2.1423082941771066</v>
      </c>
      <c r="C28" s="48" cm="1">
        <f t="array" ref="C28">MuertesEnAnio3("Femenino", A28, "PENSIONADOS", Hombres!$A$1:$DW$117, Mujeres!$A$1:$DW$117, Pensionados!$A$2:$G$166,'Empleados activos'!$A$2:$I$225)</f>
        <v>2.9219732201416666</v>
      </c>
      <c r="D28" s="48">
        <f t="shared" si="1"/>
        <v>5.0642815143187736</v>
      </c>
    </row>
    <row r="29" spans="1:4" x14ac:dyDescent="0.35">
      <c r="A29" s="12">
        <f t="shared" si="0"/>
        <v>2052</v>
      </c>
      <c r="B29" s="48" cm="1">
        <f t="array" ref="B29">MuertesEnAnio3("Masculino", A29, "PENSIONADOS", Hombres!$A$1:$DW$117, Mujeres!$A$1:$DW$117, Pensionados!$A$2:$G$166,'Empleados activos'!$A$2:$I$225)</f>
        <v>2.0913825352588558</v>
      </c>
      <c r="C29" s="48" cm="1">
        <f t="array" ref="C29">MuertesEnAnio3("Femenino", A29, "PENSIONADOS", Hombres!$A$1:$DW$117, Mujeres!$A$1:$DW$117, Pensionados!$A$2:$G$166,'Empleados activos'!$A$2:$I$225)</f>
        <v>2.8244091511582869</v>
      </c>
      <c r="D29" s="48">
        <f t="shared" si="1"/>
        <v>4.9157916864171423</v>
      </c>
    </row>
    <row r="30" spans="1:4" x14ac:dyDescent="0.35">
      <c r="A30" s="12">
        <f t="shared" si="0"/>
        <v>2053</v>
      </c>
      <c r="B30" s="48" cm="1">
        <f t="array" ref="B30">MuertesEnAnio3("Masculino", A30, "PENSIONADOS", Hombres!$A$1:$DW$117, Mujeres!$A$1:$DW$117, Pensionados!$A$2:$G$166,'Empleados activos'!$A$2:$I$225)</f>
        <v>2.0370816384657973</v>
      </c>
      <c r="C30" s="48" cm="1">
        <f t="array" ref="C30">MuertesEnAnio3("Femenino", A30, "PENSIONADOS", Hombres!$A$1:$DW$117, Mujeres!$A$1:$DW$117, Pensionados!$A$2:$G$166,'Empleados activos'!$A$2:$I$225)</f>
        <v>2.720804130601155</v>
      </c>
      <c r="D30" s="48">
        <f t="shared" si="1"/>
        <v>4.7578857690669523</v>
      </c>
    </row>
    <row r="31" spans="1:4" x14ac:dyDescent="0.35">
      <c r="A31" s="12">
        <f t="shared" si="0"/>
        <v>2054</v>
      </c>
      <c r="B31" s="48" cm="1">
        <f t="array" ref="B31">MuertesEnAnio3("Masculino", A31, "PENSIONADOS", Hombres!$A$1:$DW$117, Mujeres!$A$1:$DW$117, Pensionados!$A$2:$G$166,'Empleados activos'!$A$2:$I$225)</f>
        <v>2.0063499028841605</v>
      </c>
      <c r="C31" s="48" cm="1">
        <f t="array" ref="C31">MuertesEnAnio3("Femenino", A31, "PENSIONADOS", Hombres!$A$1:$DW$117, Mujeres!$A$1:$DW$117, Pensionados!$A$2:$G$166,'Empleados activos'!$A$2:$I$225)</f>
        <v>2.6119779526561886</v>
      </c>
      <c r="D31" s="48">
        <f t="shared" si="1"/>
        <v>4.6183278555403486</v>
      </c>
    </row>
    <row r="32" spans="1:4" x14ac:dyDescent="0.35">
      <c r="A32" s="12">
        <f t="shared" si="0"/>
        <v>2055</v>
      </c>
      <c r="B32" s="48" cm="1">
        <f t="array" ref="B32">MuertesEnAnio3("Masculino", A32, "PENSIONADOS", Hombres!$A$1:$DW$117, Mujeres!$A$1:$DW$117, Pensionados!$A$2:$G$166,'Empleados activos'!$A$2:$I$225)</f>
        <v>1.9851071857248188</v>
      </c>
      <c r="C32" s="48" cm="1">
        <f t="array" ref="C32">MuertesEnAnio3("Femenino", A32, "PENSIONADOS", Hombres!$A$1:$DW$117, Mujeres!$A$1:$DW$117, Pensionados!$A$2:$G$166,'Empleados activos'!$A$2:$I$225)</f>
        <v>2.513882363731232</v>
      </c>
      <c r="D32" s="48">
        <f t="shared" si="1"/>
        <v>4.4989895494560503</v>
      </c>
    </row>
    <row r="33" spans="1:4" x14ac:dyDescent="0.35">
      <c r="A33" s="12">
        <f t="shared" si="0"/>
        <v>2056</v>
      </c>
      <c r="B33" s="48" cm="1">
        <f t="array" ref="B33">MuertesEnAnio3("Masculino", A33, "PENSIONADOS", Hombres!$A$1:$DW$117, Mujeres!$A$1:$DW$117, Pensionados!$A$2:$G$166,'Empleados activos'!$A$2:$I$225)</f>
        <v>1.9990470487338008</v>
      </c>
      <c r="C33" s="48" cm="1">
        <f t="array" ref="C33">MuertesEnAnio3("Femenino", A33, "PENSIONADOS", Hombres!$A$1:$DW$117, Mujeres!$A$1:$DW$117, Pensionados!$A$2:$G$166,'Empleados activos'!$A$2:$I$225)</f>
        <v>2.3904457979595986</v>
      </c>
      <c r="D33" s="48">
        <f t="shared" si="1"/>
        <v>4.3894928466933996</v>
      </c>
    </row>
    <row r="34" spans="1:4" x14ac:dyDescent="0.35">
      <c r="A34" s="12">
        <f t="shared" si="0"/>
        <v>2057</v>
      </c>
      <c r="B34" s="48" cm="1">
        <f t="array" ref="B34">MuertesEnAnio3("Masculino", A34, "PENSIONADOS", Hombres!$A$1:$DW$117, Mujeres!$A$1:$DW$117, Pensionados!$A$2:$G$166,'Empleados activos'!$A$2:$I$225)</f>
        <v>1.9567101800579847</v>
      </c>
      <c r="C34" s="48" cm="1">
        <f t="array" ref="C34">MuertesEnAnio3("Femenino", A34, "PENSIONADOS", Hombres!$A$1:$DW$117, Mujeres!$A$1:$DW$117, Pensionados!$A$2:$G$166,'Empleados activos'!$A$2:$I$225)</f>
        <v>2.2818924572672108</v>
      </c>
      <c r="D34" s="48">
        <f t="shared" si="1"/>
        <v>4.2386026373251955</v>
      </c>
    </row>
    <row r="35" spans="1:4" x14ac:dyDescent="0.35">
      <c r="A35" s="12">
        <f t="shared" si="0"/>
        <v>2058</v>
      </c>
      <c r="B35" s="48" cm="1">
        <f t="array" ref="B35">MuertesEnAnio3("Masculino", A35, "PENSIONADOS", Hombres!$A$1:$DW$117, Mujeres!$A$1:$DW$117, Pensionados!$A$2:$G$166,'Empleados activos'!$A$2:$I$225)</f>
        <v>1.9213217133887641</v>
      </c>
      <c r="C35" s="48" cm="1">
        <f t="array" ref="C35">MuertesEnAnio3("Femenino", A35, "PENSIONADOS", Hombres!$A$1:$DW$117, Mujeres!$A$1:$DW$117, Pensionados!$A$2:$G$166,'Empleados activos'!$A$2:$I$225)</f>
        <v>2.1829772827788942</v>
      </c>
      <c r="D35" s="48">
        <f t="shared" si="1"/>
        <v>4.1042989961676586</v>
      </c>
    </row>
    <row r="36" spans="1:4" x14ac:dyDescent="0.35">
      <c r="A36" s="12">
        <f t="shared" si="0"/>
        <v>2059</v>
      </c>
      <c r="B36" s="48" cm="1">
        <f t="array" ref="B36">MuertesEnAnio3("Masculino", A36, "PENSIONADOS", Hombres!$A$1:$DW$117, Mujeres!$A$1:$DW$117, Pensionados!$A$2:$G$166,'Empleados activos'!$A$2:$I$225)</f>
        <v>1.8912392663148005</v>
      </c>
      <c r="C36" s="48" cm="1">
        <f t="array" ref="C36">MuertesEnAnio3("Femenino", A36, "PENSIONADOS", Hombres!$A$1:$DW$117, Mujeres!$A$1:$DW$117, Pensionados!$A$2:$G$166,'Empleados activos'!$A$2:$I$225)</f>
        <v>2.0987626612873718</v>
      </c>
      <c r="D36" s="48">
        <f t="shared" si="1"/>
        <v>3.9900019276021723</v>
      </c>
    </row>
    <row r="37" spans="1:4" x14ac:dyDescent="0.35">
      <c r="A37" s="12">
        <f t="shared" si="0"/>
        <v>2060</v>
      </c>
      <c r="B37" s="48" cm="1">
        <f t="array" ref="B37">MuertesEnAnio3("Masculino", A37, "PENSIONADOS", Hombres!$A$1:$DW$117, Mujeres!$A$1:$DW$117, Pensionados!$A$2:$G$166,'Empleados activos'!$A$2:$I$225)</f>
        <v>1.8674668323829002</v>
      </c>
      <c r="C37" s="48" cm="1">
        <f t="array" ref="C37">MuertesEnAnio3("Femenino", A37, "PENSIONADOS", Hombres!$A$1:$DW$117, Mujeres!$A$1:$DW$117, Pensionados!$A$2:$G$166,'Empleados activos'!$A$2:$I$225)</f>
        <v>2.0165064032687892</v>
      </c>
      <c r="D37" s="48">
        <f t="shared" si="1"/>
        <v>3.8839732356516894</v>
      </c>
    </row>
    <row r="38" spans="1:4" x14ac:dyDescent="0.35">
      <c r="A38" s="12">
        <f t="shared" si="0"/>
        <v>2061</v>
      </c>
      <c r="B38" s="48" cm="1">
        <f t="array" ref="B38">MuertesEnAnio3("Masculino", A38, "PENSIONADOS", Hombres!$A$1:$DW$117, Mujeres!$A$1:$DW$117, Pensionados!$A$2:$G$166,'Empleados activos'!$A$2:$I$225)</f>
        <v>1.842369668287875</v>
      </c>
      <c r="C38" s="48" cm="1">
        <f t="array" ref="C38">MuertesEnAnio3("Femenino", A38, "PENSIONADOS", Hombres!$A$1:$DW$117, Mujeres!$A$1:$DW$117, Pensionados!$A$2:$G$166,'Empleados activos'!$A$2:$I$225)</f>
        <v>1.9630657631433344</v>
      </c>
      <c r="D38" s="48">
        <f t="shared" si="1"/>
        <v>3.8054354314312091</v>
      </c>
    </row>
    <row r="39" spans="1:4" x14ac:dyDescent="0.35">
      <c r="A39" s="12">
        <f t="shared" si="0"/>
        <v>2062</v>
      </c>
      <c r="B39" s="48" cm="1">
        <f t="array" ref="B39">MuertesEnAnio3("Masculino", A39, "PENSIONADOS", Hombres!$A$1:$DW$117, Mujeres!$A$1:$DW$117, Pensionados!$A$2:$G$166,'Empleados activos'!$A$2:$I$225)</f>
        <v>1.856773083355272</v>
      </c>
      <c r="C39" s="48" cm="1">
        <f t="array" ref="C39">MuertesEnAnio3("Femenino", A39, "PENSIONADOS", Hombres!$A$1:$DW$117, Mujeres!$A$1:$DW$117, Pensionados!$A$2:$G$166,'Empleados activos'!$A$2:$I$225)</f>
        <v>1.9230376758388121</v>
      </c>
      <c r="D39" s="48">
        <f t="shared" si="1"/>
        <v>3.7798107591940839</v>
      </c>
    </row>
    <row r="40" spans="1:4" x14ac:dyDescent="0.35">
      <c r="A40" s="12">
        <f t="shared" si="0"/>
        <v>2063</v>
      </c>
      <c r="B40" s="48" cm="1">
        <f t="array" ref="B40">MuertesEnAnio3("Masculino", A40, "PENSIONADOS", Hombres!$A$1:$DW$117, Mujeres!$A$1:$DW$117, Pensionados!$A$2:$G$166,'Empleados activos'!$A$2:$I$225)</f>
        <v>1.917248720401026</v>
      </c>
      <c r="C40" s="48" cm="1">
        <f t="array" ref="C40">MuertesEnAnio3("Femenino", A40, "PENSIONADOS", Hombres!$A$1:$DW$117, Mujeres!$A$1:$DW$117, Pensionados!$A$2:$G$166,'Empleados activos'!$A$2:$I$225)</f>
        <v>1.9163022908990095</v>
      </c>
      <c r="D40" s="48">
        <f t="shared" si="1"/>
        <v>3.8335510113000355</v>
      </c>
    </row>
    <row r="41" spans="1:4" x14ac:dyDescent="0.35">
      <c r="A41" s="12">
        <f t="shared" si="0"/>
        <v>2064</v>
      </c>
      <c r="B41" s="48" cm="1">
        <f t="array" ref="B41">MuertesEnAnio3("Masculino", A41, "PENSIONADOS", Hombres!$A$1:$DW$117, Mujeres!$A$1:$DW$117, Pensionados!$A$2:$G$166,'Empleados activos'!$A$2:$I$225)</f>
        <v>1.9515044768480407</v>
      </c>
      <c r="C41" s="48" cm="1">
        <f t="array" ref="C41">MuertesEnAnio3("Femenino", A41, "PENSIONADOS", Hombres!$A$1:$DW$117, Mujeres!$A$1:$DW$117, Pensionados!$A$2:$G$166,'Empleados activos'!$A$2:$I$225)</f>
        <v>1.9271774705832114</v>
      </c>
      <c r="D41" s="48">
        <f t="shared" si="1"/>
        <v>3.8786819474312519</v>
      </c>
    </row>
    <row r="42" spans="1:4" x14ac:dyDescent="0.35">
      <c r="A42" s="12">
        <f t="shared" si="0"/>
        <v>2065</v>
      </c>
      <c r="B42" s="48" cm="1">
        <f t="array" ref="B42">MuertesEnAnio3("Masculino", A42, "PENSIONADOS", Hombres!$A$1:$DW$117, Mujeres!$A$1:$DW$117, Pensionados!$A$2:$G$166,'Empleados activos'!$A$2:$I$225)</f>
        <v>2.0005960433930281</v>
      </c>
      <c r="C42" s="48" cm="1">
        <f t="array" ref="C42">MuertesEnAnio3("Femenino", A42, "PENSIONADOS", Hombres!$A$1:$DW$117, Mujeres!$A$1:$DW$117, Pensionados!$A$2:$G$166,'Empleados activos'!$A$2:$I$225)</f>
        <v>1.9543626150287101</v>
      </c>
      <c r="D42" s="48">
        <f t="shared" si="1"/>
        <v>3.954958658421738</v>
      </c>
    </row>
    <row r="43" spans="1:4" x14ac:dyDescent="0.35">
      <c r="A43" s="12">
        <f t="shared" si="0"/>
        <v>2066</v>
      </c>
      <c r="B43" s="48" cm="1">
        <f t="array" ref="B43">MuertesEnAnio3("Masculino", A43, "PENSIONADOS", Hombres!$A$1:$DW$117, Mujeres!$A$1:$DW$117, Pensionados!$A$2:$G$166,'Empleados activos'!$A$2:$I$225)</f>
        <v>2.0531314201363489</v>
      </c>
      <c r="C43" s="48" cm="1">
        <f t="array" ref="C43">MuertesEnAnio3("Femenino", A43, "PENSIONADOS", Hombres!$A$1:$DW$117, Mujeres!$A$1:$DW$117, Pensionados!$A$2:$G$166,'Empleados activos'!$A$2:$I$225)</f>
        <v>2.0065527554320899</v>
      </c>
      <c r="D43" s="48">
        <f t="shared" si="1"/>
        <v>4.0596841755684387</v>
      </c>
    </row>
    <row r="44" spans="1:4" x14ac:dyDescent="0.35">
      <c r="A44" s="12">
        <f t="shared" si="0"/>
        <v>2067</v>
      </c>
      <c r="B44" s="48" cm="1">
        <f t="array" ref="B44">MuertesEnAnio3("Masculino", A44, "PENSIONADOS", Hombres!$A$1:$DW$117, Mujeres!$A$1:$DW$117, Pensionados!$A$2:$G$166,'Empleados activos'!$A$2:$I$225)</f>
        <v>2.112845662376337</v>
      </c>
      <c r="C44" s="48" cm="1">
        <f t="array" ref="C44">MuertesEnAnio3("Femenino", A44, "PENSIONADOS", Hombres!$A$1:$DW$117, Mujeres!$A$1:$DW$117, Pensionados!$A$2:$G$166,'Empleados activos'!$A$2:$I$225)</f>
        <v>2.0776012466896265</v>
      </c>
      <c r="D44" s="48">
        <f t="shared" si="1"/>
        <v>4.1904469090659635</v>
      </c>
    </row>
    <row r="45" spans="1:4" x14ac:dyDescent="0.35">
      <c r="A45" s="12">
        <f t="shared" si="0"/>
        <v>2068</v>
      </c>
      <c r="B45" s="48" cm="1">
        <f t="array" ref="B45">MuertesEnAnio3("Masculino", A45, "PENSIONADOS", Hombres!$A$1:$DW$117, Mujeres!$A$1:$DW$117, Pensionados!$A$2:$G$166,'Empleados activos'!$A$2:$I$225)</f>
        <v>2.1940561528352021</v>
      </c>
      <c r="C45" s="48" cm="1">
        <f t="array" ref="C45">MuertesEnAnio3("Femenino", A45, "PENSIONADOS", Hombres!$A$1:$DW$117, Mujeres!$A$1:$DW$117, Pensionados!$A$2:$G$166,'Empleados activos'!$A$2:$I$225)</f>
        <v>2.1592623938893651</v>
      </c>
      <c r="D45" s="48">
        <f t="shared" si="1"/>
        <v>4.3533185467245676</v>
      </c>
    </row>
    <row r="46" spans="1:4" x14ac:dyDescent="0.35">
      <c r="A46" s="12">
        <f t="shared" si="0"/>
        <v>2069</v>
      </c>
      <c r="B46" s="48" cm="1">
        <f t="array" ref="B46">MuertesEnAnio3("Masculino", A46, "PENSIONADOS", Hombres!$A$1:$DW$117, Mujeres!$A$1:$DW$117, Pensionados!$A$2:$G$166,'Empleados activos'!$A$2:$I$225)</f>
        <v>2.2581592618964899</v>
      </c>
      <c r="C46" s="48" cm="1">
        <f t="array" ref="C46">MuertesEnAnio3("Femenino", A46, "PENSIONADOS", Hombres!$A$1:$DW$117, Mujeres!$A$1:$DW$117, Pensionados!$A$2:$G$166,'Empleados activos'!$A$2:$I$225)</f>
        <v>2.2564979734664541</v>
      </c>
      <c r="D46" s="48">
        <f t="shared" si="1"/>
        <v>4.5146572353629439</v>
      </c>
    </row>
    <row r="47" spans="1:4" x14ac:dyDescent="0.35">
      <c r="A47" s="12">
        <f t="shared" si="0"/>
        <v>2070</v>
      </c>
      <c r="B47" s="48" cm="1">
        <f t="array" ref="B47">MuertesEnAnio3("Masculino", A47, "PENSIONADOS", Hombres!$A$1:$DW$117, Mujeres!$A$1:$DW$117, Pensionados!$A$2:$G$166,'Empleados activos'!$A$2:$I$225)</f>
        <v>2.3279932703509396</v>
      </c>
      <c r="C47" s="48" cm="1">
        <f t="array" ref="C47">MuertesEnAnio3("Femenino", A47, "PENSIONADOS", Hombres!$A$1:$DW$117, Mujeres!$A$1:$DW$117, Pensionados!$A$2:$G$166,'Empleados activos'!$A$2:$I$225)</f>
        <v>2.3613154778141494</v>
      </c>
      <c r="D47" s="48">
        <f t="shared" si="1"/>
        <v>4.6893087481650895</v>
      </c>
    </row>
    <row r="48" spans="1:4" x14ac:dyDescent="0.35">
      <c r="A48" s="12">
        <f t="shared" si="0"/>
        <v>2071</v>
      </c>
      <c r="B48" s="48" cm="1">
        <f t="array" ref="B48">MuertesEnAnio3("Masculino", A48, "PENSIONADOS", Hombres!$A$1:$DW$117, Mujeres!$A$1:$DW$117, Pensionados!$A$2:$G$166,'Empleados activos'!$A$2:$I$225)</f>
        <v>2.4006574964289431</v>
      </c>
      <c r="C48" s="48" cm="1">
        <f t="array" ref="C48">MuertesEnAnio3("Femenino", A48, "PENSIONADOS", Hombres!$A$1:$DW$117, Mujeres!$A$1:$DW$117, Pensionados!$A$2:$G$166,'Empleados activos'!$A$2:$I$225)</f>
        <v>2.4744875585534509</v>
      </c>
      <c r="D48" s="48">
        <f t="shared" si="1"/>
        <v>4.8751450549823936</v>
      </c>
    </row>
    <row r="49" spans="1:4" x14ac:dyDescent="0.35">
      <c r="A49" s="12">
        <f t="shared" si="0"/>
        <v>2072</v>
      </c>
      <c r="B49" s="48" cm="1">
        <f t="array" ref="B49">MuertesEnAnio3("Masculino", A49, "PENSIONADOS", Hombres!$A$1:$DW$117, Mujeres!$A$1:$DW$117, Pensionados!$A$2:$G$166,'Empleados activos'!$A$2:$I$225)</f>
        <v>2.480729975676256</v>
      </c>
      <c r="C49" s="48" cm="1">
        <f t="array" ref="C49">MuertesEnAnio3("Femenino", A49, "PENSIONADOS", Hombres!$A$1:$DW$117, Mujeres!$A$1:$DW$117, Pensionados!$A$2:$G$166,'Empleados activos'!$A$2:$I$225)</f>
        <v>2.5956093389437798</v>
      </c>
      <c r="D49" s="48">
        <f t="shared" si="1"/>
        <v>5.0763393146200357</v>
      </c>
    </row>
    <row r="50" spans="1:4" x14ac:dyDescent="0.35">
      <c r="A50" s="12">
        <f t="shared" si="0"/>
        <v>2073</v>
      </c>
      <c r="B50" s="48" cm="1">
        <f t="array" ref="B50">MuertesEnAnio3("Masculino", A50, "PENSIONADOS", Hombres!$A$1:$DW$117, Mujeres!$A$1:$DW$117, Pensionados!$A$2:$G$166,'Empleados activos'!$A$2:$I$225)</f>
        <v>2.5528629607393851</v>
      </c>
      <c r="C50" s="48" cm="1">
        <f t="array" ref="C50">MuertesEnAnio3("Femenino", A50, "PENSIONADOS", Hombres!$A$1:$DW$117, Mujeres!$A$1:$DW$117, Pensionados!$A$2:$G$166,'Empleados activos'!$A$2:$I$225)</f>
        <v>2.7257754673600729</v>
      </c>
      <c r="D50" s="48">
        <f t="shared" si="1"/>
        <v>5.278638428099458</v>
      </c>
    </row>
    <row r="51" spans="1:4" x14ac:dyDescent="0.35">
      <c r="A51" s="12">
        <f t="shared" si="0"/>
        <v>2074</v>
      </c>
      <c r="B51" s="48" cm="1">
        <f t="array" ref="B51">MuertesEnAnio3("Masculino", A51, "PENSIONADOS", Hombres!$A$1:$DW$117, Mujeres!$A$1:$DW$117, Pensionados!$A$2:$G$166,'Empleados activos'!$A$2:$I$225)</f>
        <v>2.6197011577305687</v>
      </c>
      <c r="C51" s="48" cm="1">
        <f t="array" ref="C51">MuertesEnAnio3("Femenino", A51, "PENSIONADOS", Hombres!$A$1:$DW$117, Mujeres!$A$1:$DW$117, Pensionados!$A$2:$G$166,'Empleados activos'!$A$2:$I$225)</f>
        <v>2.8469520662930168</v>
      </c>
      <c r="D51" s="48">
        <f t="shared" si="1"/>
        <v>5.4666532240235854</v>
      </c>
    </row>
    <row r="52" spans="1:4" x14ac:dyDescent="0.35">
      <c r="A52" s="12">
        <f t="shared" si="0"/>
        <v>2075</v>
      </c>
      <c r="B52" s="48" cm="1">
        <f t="array" ref="B52">MuertesEnAnio3("Masculino", A52, "PENSIONADOS", Hombres!$A$1:$DW$117, Mujeres!$A$1:$DW$117, Pensionados!$A$2:$G$166,'Empleados activos'!$A$2:$I$225)</f>
        <v>2.6790808824664709</v>
      </c>
      <c r="C52" s="48" cm="1">
        <f t="array" ref="C52">MuertesEnAnio3("Femenino", A52, "PENSIONADOS", Hombres!$A$1:$DW$117, Mujeres!$A$1:$DW$117, Pensionados!$A$2:$G$166,'Empleados activos'!$A$2:$I$225)</f>
        <v>2.9642544348124917</v>
      </c>
      <c r="D52" s="48">
        <f t="shared" si="1"/>
        <v>5.6433353172789626</v>
      </c>
    </row>
    <row r="53" spans="1:4" x14ac:dyDescent="0.35">
      <c r="A53" s="12">
        <f t="shared" si="0"/>
        <v>2076</v>
      </c>
      <c r="B53" s="48" cm="1">
        <f t="array" ref="B53">MuertesEnAnio3("Masculino", A53, "PENSIONADOS", Hombres!$A$1:$DW$117, Mujeres!$A$1:$DW$117, Pensionados!$A$2:$G$166,'Empleados activos'!$A$2:$I$225)</f>
        <v>2.7297095450363251</v>
      </c>
      <c r="C53" s="48" cm="1">
        <f t="array" ref="C53">MuertesEnAnio3("Femenino", A53, "PENSIONADOS", Hombres!$A$1:$DW$117, Mujeres!$A$1:$DW$117, Pensionados!$A$2:$G$166,'Empleados activos'!$A$2:$I$225)</f>
        <v>3.0741335443039115</v>
      </c>
      <c r="D53" s="48">
        <f t="shared" si="1"/>
        <v>5.8038430893402371</v>
      </c>
    </row>
    <row r="54" spans="1:4" x14ac:dyDescent="0.35">
      <c r="A54" s="12">
        <f t="shared" si="0"/>
        <v>2077</v>
      </c>
      <c r="B54" s="48" cm="1">
        <f t="array" ref="B54">MuertesEnAnio3("Masculino", A54, "PENSIONADOS", Hombres!$A$1:$DW$117, Mujeres!$A$1:$DW$117, Pensionados!$A$2:$G$166,'Empleados activos'!$A$2:$I$225)</f>
        <v>2.7711518885600479</v>
      </c>
      <c r="C54" s="48" cm="1">
        <f t="array" ref="C54">MuertesEnAnio3("Femenino", A54, "PENSIONADOS", Hombres!$A$1:$DW$117, Mujeres!$A$1:$DW$117, Pensionados!$A$2:$G$166,'Empleados activos'!$A$2:$I$225)</f>
        <v>3.1773974439019672</v>
      </c>
      <c r="D54" s="48">
        <f t="shared" si="1"/>
        <v>5.9485493324620151</v>
      </c>
    </row>
    <row r="55" spans="1:4" x14ac:dyDescent="0.35">
      <c r="A55" s="12">
        <f t="shared" si="0"/>
        <v>2078</v>
      </c>
      <c r="B55" s="48" cm="1">
        <f t="array" ref="B55">MuertesEnAnio3("Masculino", A55, "PENSIONADOS", Hombres!$A$1:$DW$117, Mujeres!$A$1:$DW$117, Pensionados!$A$2:$G$166,'Empleados activos'!$A$2:$I$225)</f>
        <v>2.8078947270079087</v>
      </c>
      <c r="C55" s="48" cm="1">
        <f t="array" ref="C55">MuertesEnAnio3("Femenino", A55, "PENSIONADOS", Hombres!$A$1:$DW$117, Mujeres!$A$1:$DW$117, Pensionados!$A$2:$G$166,'Empleados activos'!$A$2:$I$225)</f>
        <v>3.2667659565438827</v>
      </c>
      <c r="D55" s="48">
        <f t="shared" si="1"/>
        <v>6.0746606835517909</v>
      </c>
    </row>
    <row r="56" spans="1:4" x14ac:dyDescent="0.35">
      <c r="A56" s="12">
        <f t="shared" si="0"/>
        <v>2079</v>
      </c>
      <c r="B56" s="48" cm="1">
        <f t="array" ref="B56">MuertesEnAnio3("Masculino", A56, "PENSIONADOS", Hombres!$A$1:$DW$117, Mujeres!$A$1:$DW$117, Pensionados!$A$2:$G$166,'Empleados activos'!$A$2:$I$225)</f>
        <v>2.8413235737960858</v>
      </c>
      <c r="C56" s="48" cm="1">
        <f t="array" ref="C56">MuertesEnAnio3("Femenino", A56, "PENSIONADOS", Hombres!$A$1:$DW$117, Mujeres!$A$1:$DW$117, Pensionados!$A$2:$G$166,'Empleados activos'!$A$2:$I$225)</f>
        <v>3.3452649304609787</v>
      </c>
      <c r="D56" s="48">
        <f t="shared" si="1"/>
        <v>6.186588504257065</v>
      </c>
    </row>
    <row r="57" spans="1:4" x14ac:dyDescent="0.35">
      <c r="A57" s="12">
        <f t="shared" si="0"/>
        <v>2080</v>
      </c>
      <c r="B57" s="48" cm="1">
        <f t="array" ref="B57">MuertesEnAnio3("Masculino", A57, "PENSIONADOS", Hombres!$A$1:$DW$117, Mujeres!$A$1:$DW$117, Pensionados!$A$2:$G$166,'Empleados activos'!$A$2:$I$225)</f>
        <v>2.8563399217879781</v>
      </c>
      <c r="C57" s="48" cm="1">
        <f t="array" ref="C57">MuertesEnAnio3("Femenino", A57, "PENSIONADOS", Hombres!$A$1:$DW$117, Mujeres!$A$1:$DW$117, Pensionados!$A$2:$G$166,'Empleados activos'!$A$2:$I$225)</f>
        <v>3.4039664162411576</v>
      </c>
      <c r="D57" s="48">
        <f t="shared" si="1"/>
        <v>6.2603063380291353</v>
      </c>
    </row>
    <row r="58" spans="1:4" x14ac:dyDescent="0.35">
      <c r="A58" s="12">
        <f t="shared" si="0"/>
        <v>2081</v>
      </c>
      <c r="B58" s="48" cm="1">
        <f t="array" ref="B58">MuertesEnAnio3("Masculino", A58, "PENSIONADOS", Hombres!$A$1:$DW$117, Mujeres!$A$1:$DW$117, Pensionados!$A$2:$G$166,'Empleados activos'!$A$2:$I$225)</f>
        <v>2.859538147989547</v>
      </c>
      <c r="C58" s="48" cm="1">
        <f t="array" ref="C58">MuertesEnAnio3("Femenino", A58, "PENSIONADOS", Hombres!$A$1:$DW$117, Mujeres!$A$1:$DW$117, Pensionados!$A$2:$G$166,'Empleados activos'!$A$2:$I$225)</f>
        <v>3.4462978337998758</v>
      </c>
      <c r="D58" s="48">
        <f t="shared" si="1"/>
        <v>6.3058359817894232</v>
      </c>
    </row>
    <row r="59" spans="1:4" x14ac:dyDescent="0.35">
      <c r="A59" s="12">
        <f t="shared" si="0"/>
        <v>2082</v>
      </c>
      <c r="B59" s="48" cm="1">
        <f t="array" ref="B59">MuertesEnAnio3("Masculino", A59, "PENSIONADOS", Hombres!$A$1:$DW$117, Mujeres!$A$1:$DW$117, Pensionados!$A$2:$G$166,'Empleados activos'!$A$2:$I$225)</f>
        <v>2.8508194476464568</v>
      </c>
      <c r="C59" s="48" cm="1">
        <f t="array" ref="C59">MuertesEnAnio3("Femenino", A59, "PENSIONADOS", Hombres!$A$1:$DW$117, Mujeres!$A$1:$DW$117, Pensionados!$A$2:$G$166,'Empleados activos'!$A$2:$I$225)</f>
        <v>3.4693920449732709</v>
      </c>
      <c r="D59" s="48">
        <f t="shared" si="1"/>
        <v>6.3202114926197277</v>
      </c>
    </row>
    <row r="60" spans="1:4" x14ac:dyDescent="0.35">
      <c r="A60" s="12">
        <f t="shared" si="0"/>
        <v>2083</v>
      </c>
      <c r="B60" s="48" cm="1">
        <f t="array" ref="B60">MuertesEnAnio3("Masculino", A60, "PENSIONADOS", Hombres!$A$1:$DW$117, Mujeres!$A$1:$DW$117, Pensionados!$A$2:$G$166,'Empleados activos'!$A$2:$I$225)</f>
        <v>2.8306689264610081</v>
      </c>
      <c r="C60" s="48" cm="1">
        <f t="array" ref="C60">MuertesEnAnio3("Femenino", A60, "PENSIONADOS", Hombres!$A$1:$DW$117, Mujeres!$A$1:$DW$117, Pensionados!$A$2:$G$166,'Empleados activos'!$A$2:$I$225)</f>
        <v>3.4731068122308422</v>
      </c>
      <c r="D60" s="48">
        <f t="shared" si="1"/>
        <v>6.3037757386918507</v>
      </c>
    </row>
    <row r="61" spans="1:4" x14ac:dyDescent="0.35">
      <c r="A61" s="12">
        <f t="shared" si="0"/>
        <v>2084</v>
      </c>
      <c r="B61" s="48" cm="1">
        <f t="array" ref="B61">MuertesEnAnio3("Masculino", A61, "PENSIONADOS", Hombres!$A$1:$DW$117, Mujeres!$A$1:$DW$117, Pensionados!$A$2:$G$166,'Empleados activos'!$A$2:$I$225)</f>
        <v>2.798454627735508</v>
      </c>
      <c r="C61" s="48" cm="1">
        <f t="array" ref="C61">MuertesEnAnio3("Femenino", A61, "PENSIONADOS", Hombres!$A$1:$DW$117, Mujeres!$A$1:$DW$117, Pensionados!$A$2:$G$166,'Empleados activos'!$A$2:$I$225)</f>
        <v>3.4565916700190691</v>
      </c>
      <c r="D61" s="48">
        <f t="shared" si="1"/>
        <v>6.2550462977545767</v>
      </c>
    </row>
    <row r="62" spans="1:4" x14ac:dyDescent="0.35">
      <c r="A62" s="12">
        <f t="shared" si="0"/>
        <v>2085</v>
      </c>
      <c r="B62" s="48" cm="1">
        <f t="array" ref="B62">MuertesEnAnio3("Masculino", A62, "PENSIONADOS", Hombres!$A$1:$DW$117, Mujeres!$A$1:$DW$117, Pensionados!$A$2:$G$166,'Empleados activos'!$A$2:$I$225)</f>
        <v>2.7458123340957887</v>
      </c>
      <c r="C62" s="48" cm="1">
        <f t="array" ref="C62">MuertesEnAnio3("Femenino", A62, "PENSIONADOS", Hombres!$A$1:$DW$117, Mujeres!$A$1:$DW$117, Pensionados!$A$2:$G$166,'Empleados activos'!$A$2:$I$225)</f>
        <v>3.4180089811164658</v>
      </c>
      <c r="D62" s="48">
        <f t="shared" si="1"/>
        <v>6.163821315212255</v>
      </c>
    </row>
    <row r="63" spans="1:4" x14ac:dyDescent="0.35">
      <c r="A63" s="12">
        <f t="shared" si="0"/>
        <v>2086</v>
      </c>
      <c r="B63" s="48" cm="1">
        <f t="array" ref="B63">MuertesEnAnio3("Masculino", A63, "PENSIONADOS", Hombres!$A$1:$DW$117, Mujeres!$A$1:$DW$117, Pensionados!$A$2:$G$166,'Empleados activos'!$A$2:$I$225)</f>
        <v>2.676039629702498</v>
      </c>
      <c r="C63" s="48" cm="1">
        <f t="array" ref="C63">MuertesEnAnio3("Femenino", A63, "PENSIONADOS", Hombres!$A$1:$DW$117, Mujeres!$A$1:$DW$117, Pensionados!$A$2:$G$166,'Empleados activos'!$A$2:$I$225)</f>
        <v>3.3585161407877608</v>
      </c>
      <c r="D63" s="48">
        <f t="shared" si="1"/>
        <v>6.0345557704902593</v>
      </c>
    </row>
    <row r="64" spans="1:4" x14ac:dyDescent="0.35">
      <c r="A64" s="12">
        <f t="shared" si="0"/>
        <v>2087</v>
      </c>
      <c r="B64" s="48" cm="1">
        <f t="array" ref="B64">MuertesEnAnio3("Masculino", A64, "PENSIONADOS", Hombres!$A$1:$DW$117, Mujeres!$A$1:$DW$117, Pensionados!$A$2:$G$166,'Empleados activos'!$A$2:$I$225)</f>
        <v>2.5901645433231191</v>
      </c>
      <c r="C64" s="48" cm="1">
        <f t="array" ref="C64">MuertesEnAnio3("Femenino", A64, "PENSIONADOS", Hombres!$A$1:$DW$117, Mujeres!$A$1:$DW$117, Pensionados!$A$2:$G$166,'Empleados activos'!$A$2:$I$225)</f>
        <v>3.2797482261231568</v>
      </c>
      <c r="D64" s="48">
        <f t="shared" si="1"/>
        <v>5.8699127694462758</v>
      </c>
    </row>
    <row r="65" spans="1:4" x14ac:dyDescent="0.35">
      <c r="A65" s="12">
        <f t="shared" si="0"/>
        <v>2088</v>
      </c>
      <c r="B65" s="48" cm="1">
        <f t="array" ref="B65">MuertesEnAnio3("Masculino", A65, "PENSIONADOS", Hombres!$A$1:$DW$117, Mujeres!$A$1:$DW$117, Pensionados!$A$2:$G$166,'Empleados activos'!$A$2:$I$225)</f>
        <v>2.4880430032504184</v>
      </c>
      <c r="C65" s="48" cm="1">
        <f t="array" ref="C65">MuertesEnAnio3("Femenino", A65, "PENSIONADOS", Hombres!$A$1:$DW$117, Mujeres!$A$1:$DW$117, Pensionados!$A$2:$G$166,'Empleados activos'!$A$2:$I$225)</f>
        <v>3.1813697535281604</v>
      </c>
      <c r="D65" s="48">
        <f t="shared" si="1"/>
        <v>5.6694127567785788</v>
      </c>
    </row>
    <row r="66" spans="1:4" x14ac:dyDescent="0.35">
      <c r="A66" s="12">
        <f t="shared" si="0"/>
        <v>2089</v>
      </c>
      <c r="B66" s="48" cm="1">
        <f t="array" ref="B66">MuertesEnAnio3("Masculino", A66, "PENSIONADOS", Hombres!$A$1:$DW$117, Mujeres!$A$1:$DW$117, Pensionados!$A$2:$G$166,'Empleados activos'!$A$2:$I$225)</f>
        <v>2.3683025383482752</v>
      </c>
      <c r="C66" s="48" cm="1">
        <f t="array" ref="C66">MuertesEnAnio3("Femenino", A66, "PENSIONADOS", Hombres!$A$1:$DW$117, Mujeres!$A$1:$DW$117, Pensionados!$A$2:$G$166,'Empleados activos'!$A$2:$I$225)</f>
        <v>3.0612411349094146</v>
      </c>
      <c r="D66" s="48">
        <f t="shared" si="1"/>
        <v>5.4295436732576903</v>
      </c>
    </row>
    <row r="67" spans="1:4" x14ac:dyDescent="0.35">
      <c r="A67" s="12">
        <f t="shared" si="0"/>
        <v>2090</v>
      </c>
      <c r="B67" s="48" cm="1">
        <f t="array" ref="B67">MuertesEnAnio3("Masculino", A67, "PENSIONADOS", Hombres!$A$1:$DW$117, Mujeres!$A$1:$DW$117, Pensionados!$A$2:$G$166,'Empleados activos'!$A$2:$I$225)</f>
        <v>2.2313180714758278</v>
      </c>
      <c r="C67" s="48" cm="1">
        <f t="array" ref="C67">MuertesEnAnio3("Femenino", A67, "PENSIONADOS", Hombres!$A$1:$DW$117, Mujeres!$A$1:$DW$117, Pensionados!$A$2:$G$166,'Empleados activos'!$A$2:$I$225)</f>
        <v>2.918770499986441</v>
      </c>
      <c r="D67" s="48">
        <f t="shared" ref="D67:D96" si="2">B67+C67</f>
        <v>5.1500885714622688</v>
      </c>
    </row>
    <row r="68" spans="1:4" x14ac:dyDescent="0.35">
      <c r="A68" s="12">
        <f t="shared" ref="A68:A97" si="3">A67+1</f>
        <v>2091</v>
      </c>
      <c r="B68" s="48" cm="1">
        <f t="array" ref="B68">MuertesEnAnio3("Masculino", A68, "PENSIONADOS", Hombres!$A$1:$DW$117, Mujeres!$A$1:$DW$117, Pensionados!$A$2:$G$166,'Empleados activos'!$A$2:$I$225)</f>
        <v>2.0801458453788886</v>
      </c>
      <c r="C68" s="48" cm="1">
        <f t="array" ref="C68">MuertesEnAnio3("Femenino", A68, "PENSIONADOS", Hombres!$A$1:$DW$117, Mujeres!$A$1:$DW$117, Pensionados!$A$2:$G$166,'Empleados activos'!$A$2:$I$225)</f>
        <v>2.7563068538244284</v>
      </c>
      <c r="D68" s="48">
        <f t="shared" si="2"/>
        <v>4.836452699203317</v>
      </c>
    </row>
    <row r="69" spans="1:4" x14ac:dyDescent="0.35">
      <c r="A69" s="12">
        <f t="shared" si="3"/>
        <v>2092</v>
      </c>
      <c r="B69" s="48" cm="1">
        <f t="array" ref="B69">MuertesEnAnio3("Masculino", A69, "PENSIONADOS", Hombres!$A$1:$DW$117, Mujeres!$A$1:$DW$117, Pensionados!$A$2:$G$166,'Empleados activos'!$A$2:$I$225)</f>
        <v>1.9186845873864062</v>
      </c>
      <c r="C69" s="48" cm="1">
        <f t="array" ref="C69">MuertesEnAnio3("Femenino", A69, "PENSIONADOS", Hombres!$A$1:$DW$117, Mujeres!$A$1:$DW$117, Pensionados!$A$2:$G$166,'Empleados activos'!$A$2:$I$225)</f>
        <v>2.5770164716643977</v>
      </c>
      <c r="D69" s="48">
        <f t="shared" si="2"/>
        <v>4.4957010590508037</v>
      </c>
    </row>
    <row r="70" spans="1:4" x14ac:dyDescent="0.35">
      <c r="A70" s="12">
        <f t="shared" si="3"/>
        <v>2093</v>
      </c>
      <c r="B70" s="48" cm="1">
        <f t="array" ref="B70">MuertesEnAnio3("Masculino", A70, "PENSIONADOS", Hombres!$A$1:$DW$117, Mujeres!$A$1:$DW$117, Pensionados!$A$2:$G$166,'Empleados activos'!$A$2:$I$225)</f>
        <v>1.7502815774797038</v>
      </c>
      <c r="C70" s="48" cm="1">
        <f t="array" ref="C70">MuertesEnAnio3("Femenino", A70, "PENSIONADOS", Hombres!$A$1:$DW$117, Mujeres!$A$1:$DW$117, Pensionados!$A$2:$G$166,'Empleados activos'!$A$2:$I$225)</f>
        <v>2.3832540494157279</v>
      </c>
      <c r="D70" s="48">
        <f t="shared" si="2"/>
        <v>4.1335356268954317</v>
      </c>
    </row>
    <row r="71" spans="1:4" x14ac:dyDescent="0.35">
      <c r="A71" s="12">
        <f t="shared" si="3"/>
        <v>2094</v>
      </c>
      <c r="B71" s="48" cm="1">
        <f t="array" ref="B71">MuertesEnAnio3("Masculino", A71, "PENSIONADOS", Hombres!$A$1:$DW$117, Mujeres!$A$1:$DW$117, Pensionados!$A$2:$G$166,'Empleados activos'!$A$2:$I$225)</f>
        <v>1.5776640873483152</v>
      </c>
      <c r="C71" s="48" cm="1">
        <f t="array" ref="C71">MuertesEnAnio3("Femenino", A71, "PENSIONADOS", Hombres!$A$1:$DW$117, Mujeres!$A$1:$DW$117, Pensionados!$A$2:$G$166,'Empleados activos'!$A$2:$I$225)</f>
        <v>2.1767869484437825</v>
      </c>
      <c r="D71" s="48">
        <f t="shared" si="2"/>
        <v>3.7544510357920977</v>
      </c>
    </row>
    <row r="72" spans="1:4" x14ac:dyDescent="0.35">
      <c r="A72" s="12">
        <f t="shared" si="3"/>
        <v>2095</v>
      </c>
      <c r="B72" s="48" cm="1">
        <f t="array" ref="B72">MuertesEnAnio3("Masculino", A72, "PENSIONADOS", Hombres!$A$1:$DW$117, Mujeres!$A$1:$DW$117, Pensionados!$A$2:$G$166,'Empleados activos'!$A$2:$I$225)</f>
        <v>1.4044791192494981</v>
      </c>
      <c r="C72" s="48" cm="1">
        <f t="array" ref="C72">MuertesEnAnio3("Femenino", A72, "PENSIONADOS", Hombres!$A$1:$DW$117, Mujeres!$A$1:$DW$117, Pensionados!$A$2:$G$166,'Empleados activos'!$A$2:$I$225)</f>
        <v>1.9608474121776847</v>
      </c>
      <c r="D72" s="48">
        <f t="shared" si="2"/>
        <v>3.3653265314271827</v>
      </c>
    </row>
    <row r="73" spans="1:4" x14ac:dyDescent="0.35">
      <c r="A73" s="12">
        <f t="shared" si="3"/>
        <v>2096</v>
      </c>
      <c r="B73" s="48" cm="1">
        <f t="array" ref="B73">MuertesEnAnio3("Masculino", A73, "PENSIONADOS", Hombres!$A$1:$DW$117, Mujeres!$A$1:$DW$117, Pensionados!$A$2:$G$166,'Empleados activos'!$A$2:$I$225)</f>
        <v>1.235280283191738</v>
      </c>
      <c r="C73" s="48" cm="1">
        <f t="array" ref="C73">MuertesEnAnio3("Femenino", A73, "PENSIONADOS", Hombres!$A$1:$DW$117, Mujeres!$A$1:$DW$117, Pensionados!$A$2:$G$166,'Empleados activos'!$A$2:$I$225)</f>
        <v>1.7404693442446171</v>
      </c>
      <c r="D73" s="48">
        <f t="shared" si="2"/>
        <v>2.9757496274363548</v>
      </c>
    </row>
    <row r="74" spans="1:4" x14ac:dyDescent="0.35">
      <c r="A74" s="12">
        <f t="shared" si="3"/>
        <v>2097</v>
      </c>
      <c r="B74" s="48" cm="1">
        <f t="array" ref="B74">MuertesEnAnio3("Masculino", A74, "PENSIONADOS", Hombres!$A$1:$DW$117, Mujeres!$A$1:$DW$117, Pensionados!$A$2:$G$166,'Empleados activos'!$A$2:$I$225)</f>
        <v>1.0740941218834048</v>
      </c>
      <c r="C74" s="48" cm="1">
        <f t="array" ref="C74">MuertesEnAnio3("Femenino", A74, "PENSIONADOS", Hombres!$A$1:$DW$117, Mujeres!$A$1:$DW$117, Pensionados!$A$2:$G$166,'Empleados activos'!$A$2:$I$225)</f>
        <v>1.5209088538883171</v>
      </c>
      <c r="D74" s="48">
        <f t="shared" si="2"/>
        <v>2.5950029757717221</v>
      </c>
    </row>
    <row r="75" spans="1:4" x14ac:dyDescent="0.35">
      <c r="A75" s="12">
        <f t="shared" si="3"/>
        <v>2098</v>
      </c>
      <c r="B75" s="48" cm="1">
        <f t="array" ref="B75">MuertesEnAnio3("Masculino", A75, "PENSIONADOS", Hombres!$A$1:$DW$117, Mujeres!$A$1:$DW$117, Pensionados!$A$2:$G$166,'Empleados activos'!$A$2:$I$225)</f>
        <v>0.92345738409833145</v>
      </c>
      <c r="C75" s="48" cm="1">
        <f t="array" ref="C75">MuertesEnAnio3("Femenino", A75, "PENSIONADOS", Hombres!$A$1:$DW$117, Mujeres!$A$1:$DW$117, Pensionados!$A$2:$G$166,'Empleados activos'!$A$2:$I$225)</f>
        <v>1.3067199908913041</v>
      </c>
      <c r="D75" s="48">
        <f t="shared" si="2"/>
        <v>2.2301773749896356</v>
      </c>
    </row>
    <row r="76" spans="1:4" x14ac:dyDescent="0.35">
      <c r="A76" s="12">
        <f t="shared" si="3"/>
        <v>2099</v>
      </c>
      <c r="B76" s="48" cm="1">
        <f t="array" ref="B76">MuertesEnAnio3("Masculino", A76, "PENSIONADOS", Hombres!$A$1:$DW$117, Mujeres!$A$1:$DW$117, Pensionados!$A$2:$G$166,'Empleados activos'!$A$2:$I$225)</f>
        <v>0.78465629741921394</v>
      </c>
      <c r="C76" s="48" cm="1">
        <f t="array" ref="C76">MuertesEnAnio3("Femenino", A76, "PENSIONADOS", Hombres!$A$1:$DW$117, Mujeres!$A$1:$DW$117, Pensionados!$A$2:$G$166,'Empleados activos'!$A$2:$I$225)</f>
        <v>1.1018493216476191</v>
      </c>
      <c r="D76" s="48">
        <f t="shared" si="2"/>
        <v>1.886505619066833</v>
      </c>
    </row>
    <row r="77" spans="1:4" x14ac:dyDescent="0.35">
      <c r="A77" s="12">
        <f t="shared" si="3"/>
        <v>2100</v>
      </c>
      <c r="B77" s="48" cm="1">
        <f t="array" ref="B77">MuertesEnAnio3("Masculino", A77, "PENSIONADOS", Hombres!$A$1:$DW$117, Mujeres!$A$1:$DW$117, Pensionados!$A$2:$G$166,'Empleados activos'!$A$2:$I$225)</f>
        <v>0.65846025814719589</v>
      </c>
      <c r="C77" s="48" cm="1">
        <f t="array" ref="C77">MuertesEnAnio3("Femenino", A77, "PENSIONADOS", Hombres!$A$1:$DW$117, Mujeres!$A$1:$DW$117, Pensionados!$A$2:$G$166,'Empleados activos'!$A$2:$I$225)</f>
        <v>0.9102953204374874</v>
      </c>
      <c r="D77" s="48">
        <f t="shared" si="2"/>
        <v>1.5687555785846832</v>
      </c>
    </row>
    <row r="78" spans="1:4" x14ac:dyDescent="0.35">
      <c r="A78" s="12">
        <f t="shared" si="3"/>
        <v>2101</v>
      </c>
      <c r="B78" s="48" cm="1">
        <f t="array" ref="B78">MuertesEnAnio3("Masculino", A78, "PENSIONADOS", Hombres!$A$1:$DW$117, Mujeres!$A$1:$DW$117, Pensionados!$A$2:$G$166,'Empleados activos'!$A$2:$I$225)</f>
        <v>0.54543289123319827</v>
      </c>
      <c r="C78" s="48" cm="1">
        <f t="array" ref="C78">MuertesEnAnio3("Femenino", A78, "PENSIONADOS", Hombres!$A$1:$DW$117, Mujeres!$A$1:$DW$117, Pensionados!$A$2:$G$166,'Empleados activos'!$A$2:$I$225)</f>
        <v>0.73576849652115917</v>
      </c>
      <c r="D78" s="48">
        <f t="shared" si="2"/>
        <v>1.2812013877543573</v>
      </c>
    </row>
    <row r="79" spans="1:4" x14ac:dyDescent="0.35">
      <c r="A79" s="12">
        <f t="shared" si="3"/>
        <v>2102</v>
      </c>
      <c r="B79" s="48" cm="1">
        <f t="array" ref="B79">MuertesEnAnio3("Masculino", A79, "PENSIONADOS", Hombres!$A$1:$DW$117, Mujeres!$A$1:$DW$117, Pensionados!$A$2:$G$166,'Empleados activos'!$A$2:$I$225)</f>
        <v>0.44554788236605464</v>
      </c>
      <c r="C79" s="48" cm="1">
        <f t="array" ref="C79">MuertesEnAnio3("Femenino", A79, "PENSIONADOS", Hombres!$A$1:$DW$117, Mujeres!$A$1:$DW$117, Pensionados!$A$2:$G$166,'Empleados activos'!$A$2:$I$225)</f>
        <v>0.58079414235507121</v>
      </c>
      <c r="D79" s="48">
        <f t="shared" si="2"/>
        <v>1.0263420247211259</v>
      </c>
    </row>
    <row r="80" spans="1:4" x14ac:dyDescent="0.35">
      <c r="A80" s="12">
        <f t="shared" si="3"/>
        <v>2103</v>
      </c>
      <c r="B80" s="48" cm="1">
        <f t="array" ref="B80">MuertesEnAnio3("Masculino", A80, "PENSIONADOS", Hombres!$A$1:$DW$117, Mujeres!$A$1:$DW$117, Pensionados!$A$2:$G$166,'Empleados activos'!$A$2:$I$225)</f>
        <v>0.35821414822187581</v>
      </c>
      <c r="C80" s="48" cm="1">
        <f t="array" ref="C80">MuertesEnAnio3("Femenino", A80, "PENSIONADOS", Hombres!$A$1:$DW$117, Mujeres!$A$1:$DW$117, Pensionados!$A$2:$G$166,'Empleados activos'!$A$2:$I$225)</f>
        <v>0.4464854272257428</v>
      </c>
      <c r="D80" s="48">
        <f t="shared" si="2"/>
        <v>0.80469957544761861</v>
      </c>
    </row>
    <row r="81" spans="1:4" x14ac:dyDescent="0.35">
      <c r="A81" s="12">
        <f t="shared" si="3"/>
        <v>2104</v>
      </c>
      <c r="B81" s="48" cm="1">
        <f t="array" ref="B81">MuertesEnAnio3("Masculino", A81, "PENSIONADOS", Hombres!$A$1:$DW$117, Mujeres!$A$1:$DW$117, Pensionados!$A$2:$G$166,'Empleados activos'!$A$2:$I$225)</f>
        <v>0.28259785287542294</v>
      </c>
      <c r="C81" s="48" cm="1">
        <f t="array" ref="C81">MuertesEnAnio3("Femenino", A81, "PENSIONADOS", Hombres!$A$1:$DW$117, Mujeres!$A$1:$DW$117, Pensionados!$A$2:$G$166,'Empleados activos'!$A$2:$I$225)</f>
        <v>0.33289463279925413</v>
      </c>
      <c r="D81" s="48">
        <f t="shared" si="2"/>
        <v>0.61549248567467707</v>
      </c>
    </row>
    <row r="82" spans="1:4" x14ac:dyDescent="0.35">
      <c r="A82" s="12">
        <f t="shared" si="3"/>
        <v>2105</v>
      </c>
      <c r="B82" s="48" cm="1">
        <f t="array" ref="B82">MuertesEnAnio3("Masculino", A82, "PENSIONADOS", Hombres!$A$1:$DW$117, Mujeres!$A$1:$DW$117, Pensionados!$A$2:$G$166,'Empleados activos'!$A$2:$I$225)</f>
        <v>0.21806452812865698</v>
      </c>
      <c r="C82" s="48" cm="1">
        <f t="array" ref="C82">MuertesEnAnio3("Femenino", A82, "PENSIONADOS", Hombres!$A$1:$DW$117, Mujeres!$A$1:$DW$117, Pensionados!$A$2:$G$166,'Empleados activos'!$A$2:$I$225)</f>
        <v>0.23947857755576185</v>
      </c>
      <c r="D82" s="48">
        <f t="shared" si="2"/>
        <v>0.4575431056844188</v>
      </c>
    </row>
    <row r="83" spans="1:4" x14ac:dyDescent="0.35">
      <c r="A83" s="12">
        <f t="shared" si="3"/>
        <v>2106</v>
      </c>
      <c r="B83" s="48" cm="1">
        <f t="array" ref="B83">MuertesEnAnio3("Masculino", A83, "PENSIONADOS", Hombres!$A$1:$DW$117, Mujeres!$A$1:$DW$117, Pensionados!$A$2:$G$166,'Empleados activos'!$A$2:$I$225)</f>
        <v>0.16408893309162526</v>
      </c>
      <c r="C83" s="48" cm="1">
        <f t="array" ref="C83">MuertesEnAnio3("Femenino", A83, "PENSIONADOS", Hombres!$A$1:$DW$117, Mujeres!$A$1:$DW$117, Pensionados!$A$2:$G$166,'Empleados activos'!$A$2:$I$225)</f>
        <v>0.16519753734258705</v>
      </c>
      <c r="D83" s="48">
        <f t="shared" si="2"/>
        <v>0.32928647043421233</v>
      </c>
    </row>
    <row r="84" spans="1:4" x14ac:dyDescent="0.35">
      <c r="A84" s="12">
        <f t="shared" si="3"/>
        <v>2107</v>
      </c>
      <c r="B84" s="48" cm="1">
        <f t="array" ref="B84">MuertesEnAnio3("Masculino", A84, "PENSIONADOS", Hombres!$A$1:$DW$117, Mujeres!$A$1:$DW$117, Pensionados!$A$2:$G$166,'Empleados activos'!$A$2:$I$225)</f>
        <v>0.1200555547988845</v>
      </c>
      <c r="C84" s="48" cm="1">
        <f t="array" ref="C84">MuertesEnAnio3("Femenino", A84, "PENSIONADOS", Hombres!$A$1:$DW$117, Mujeres!$A$1:$DW$117, Pensionados!$A$2:$G$166,'Empleados activos'!$A$2:$I$225)</f>
        <v>0.10844191589721358</v>
      </c>
      <c r="D84" s="48">
        <f t="shared" si="2"/>
        <v>0.22849747069609808</v>
      </c>
    </row>
    <row r="85" spans="1:4" x14ac:dyDescent="0.35">
      <c r="A85" s="12">
        <f t="shared" si="3"/>
        <v>2108</v>
      </c>
      <c r="B85" s="48" cm="1">
        <f t="array" ref="B85">MuertesEnAnio3("Masculino", A85, "PENSIONADOS", Hombres!$A$1:$DW$117, Mujeres!$A$1:$DW$117, Pensionados!$A$2:$G$166,'Empleados activos'!$A$2:$I$225)</f>
        <v>8.5085608914527613E-2</v>
      </c>
      <c r="C85" s="48" cm="1">
        <f t="array" ref="C85">MuertesEnAnio3("Femenino", A85, "PENSIONADOS", Hombres!$A$1:$DW$117, Mujeres!$A$1:$DW$117, Pensionados!$A$2:$G$166,'Empleados activos'!$A$2:$I$225)</f>
        <v>6.7091486960437985E-2</v>
      </c>
      <c r="D85" s="48">
        <f t="shared" si="2"/>
        <v>0.15217709587496558</v>
      </c>
    </row>
    <row r="86" spans="1:4" x14ac:dyDescent="0.35">
      <c r="A86" s="12">
        <f t="shared" si="3"/>
        <v>2109</v>
      </c>
      <c r="B86" s="48" cm="1">
        <f t="array" ref="B86">MuertesEnAnio3("Masculino", A86, "PENSIONADOS", Hombres!$A$1:$DW$117, Mujeres!$A$1:$DW$117, Pensionados!$A$2:$G$166,'Empleados activos'!$A$2:$I$225)</f>
        <v>5.8205075083162812E-2</v>
      </c>
      <c r="C86" s="48" cm="1">
        <f t="array" ref="C86">MuertesEnAnio3("Femenino", A86, "PENSIONADOS", Hombres!$A$1:$DW$117, Mujeres!$A$1:$DW$117, Pensionados!$A$2:$G$166,'Empleados activos'!$A$2:$I$225)</f>
        <v>3.8657240530906752E-2</v>
      </c>
      <c r="D86" s="48">
        <f t="shared" si="2"/>
        <v>9.6862315614069563E-2</v>
      </c>
    </row>
    <row r="87" spans="1:4" x14ac:dyDescent="0.35">
      <c r="A87" s="12">
        <f t="shared" si="3"/>
        <v>2110</v>
      </c>
      <c r="B87" s="48" cm="1">
        <f t="array" ref="B87">MuertesEnAnio3("Masculino", A87, "PENSIONADOS", Hombres!$A$1:$DW$117, Mujeres!$A$1:$DW$117, Pensionados!$A$2:$G$166,'Empleados activos'!$A$2:$I$225)</f>
        <v>3.8252315928155936E-2</v>
      </c>
      <c r="C87" s="48" cm="1">
        <f t="array" ref="C87">MuertesEnAnio3("Femenino", A87, "PENSIONADOS", Hombres!$A$1:$DW$117, Mujeres!$A$1:$DW$117, Pensionados!$A$2:$G$166,'Empleados activos'!$A$2:$I$225)</f>
        <v>2.0446675127381807E-2</v>
      </c>
      <c r="D87" s="48">
        <f t="shared" si="2"/>
        <v>5.8698991055537747E-2</v>
      </c>
    </row>
    <row r="88" spans="1:4" x14ac:dyDescent="0.35">
      <c r="A88" s="12">
        <f t="shared" si="3"/>
        <v>2111</v>
      </c>
      <c r="B88" s="48" cm="1">
        <f t="array" ref="B88">MuertesEnAnio3("Masculino", A88, "PENSIONADOS", Hombres!$A$1:$DW$117, Mujeres!$A$1:$DW$117, Pensionados!$A$2:$G$166,'Empleados activos'!$A$2:$I$225)</f>
        <v>2.4035924607653896E-2</v>
      </c>
      <c r="C88" s="48" cm="1">
        <f t="array" ref="C88">MuertesEnAnio3("Femenino", A88, "PENSIONADOS", Hombres!$A$1:$DW$117, Mujeres!$A$1:$DW$117, Pensionados!$A$2:$G$166,'Empleados activos'!$A$2:$I$225)</f>
        <v>9.753594581654583E-3</v>
      </c>
      <c r="D88" s="48">
        <f t="shared" si="2"/>
        <v>3.3789519189308476E-2</v>
      </c>
    </row>
    <row r="89" spans="1:4" x14ac:dyDescent="0.35">
      <c r="A89" s="12">
        <f t="shared" si="3"/>
        <v>2112</v>
      </c>
      <c r="B89" s="48" cm="1">
        <f t="array" ref="B89">MuertesEnAnio3("Masculino", A89, "PENSIONADOS", Hombres!$A$1:$DW$117, Mujeres!$A$1:$DW$117, Pensionados!$A$2:$G$166,'Empleados activos'!$A$2:$I$225)</f>
        <v>1.435539212120693E-2</v>
      </c>
      <c r="C89" s="48" cm="1">
        <f t="array" ref="C89">MuertesEnAnio3("Femenino", A89, "PENSIONADOS", Hombres!$A$1:$DW$117, Mujeres!$A$1:$DW$117, Pensionados!$A$2:$G$166,'Empleados activos'!$A$2:$I$225)</f>
        <v>4.1038616910432542E-3</v>
      </c>
      <c r="D89" s="48">
        <f t="shared" si="2"/>
        <v>1.8459253812250186E-2</v>
      </c>
    </row>
    <row r="90" spans="1:4" x14ac:dyDescent="0.35">
      <c r="A90" s="12">
        <f t="shared" si="3"/>
        <v>2113</v>
      </c>
      <c r="B90" s="48" cm="1">
        <f t="array" ref="B90">MuertesEnAnio3("Masculino", A90, "PENSIONADOS", Hombres!$A$1:$DW$117, Mujeres!$A$1:$DW$117, Pensionados!$A$2:$G$166,'Empleados activos'!$A$2:$I$225)</f>
        <v>8.0943685210606853E-3</v>
      </c>
      <c r="C90" s="48" cm="1">
        <f t="array" ref="C90">MuertesEnAnio3("Femenino", A90, "PENSIONADOS", Hombres!$A$1:$DW$117, Mujeres!$A$1:$DW$117, Pensionados!$A$2:$G$166,'Empleados activos'!$A$2:$I$225)</f>
        <v>1.479301308966234E-3</v>
      </c>
      <c r="D90" s="48">
        <f t="shared" si="2"/>
        <v>9.5736698300269187E-3</v>
      </c>
    </row>
    <row r="91" spans="1:4" x14ac:dyDescent="0.35">
      <c r="A91" s="12">
        <f t="shared" si="3"/>
        <v>2114</v>
      </c>
      <c r="B91" s="48" cm="1">
        <f t="array" ref="B91">MuertesEnAnio3("Masculino", A91, "PENSIONADOS", Hombres!$A$1:$DW$117, Mujeres!$A$1:$DW$117, Pensionados!$A$2:$G$166,'Empleados activos'!$A$2:$I$225)</f>
        <v>4.2666757935596418E-3</v>
      </c>
      <c r="C91" s="48" cm="1">
        <f t="array" ref="C91">MuertesEnAnio3("Femenino", A91, "PENSIONADOS", Hombres!$A$1:$DW$117, Mujeres!$A$1:$DW$117, Pensionados!$A$2:$G$166,'Empleados activos'!$A$2:$I$225)</f>
        <v>4.3926168501492725E-4</v>
      </c>
      <c r="D91" s="48">
        <f t="shared" si="2"/>
        <v>4.7059374785745692E-3</v>
      </c>
    </row>
    <row r="92" spans="1:4" x14ac:dyDescent="0.35">
      <c r="A92" s="12">
        <f t="shared" si="3"/>
        <v>2115</v>
      </c>
      <c r="B92" s="48" cm="1">
        <f t="array" ref="B92">MuertesEnAnio3("Masculino", A92, "PENSIONADOS", Hombres!$A$1:$DW$117, Mujeres!$A$1:$DW$117, Pensionados!$A$2:$G$166,'Empleados activos'!$A$2:$I$225)</f>
        <v>2.0491266418362019E-3</v>
      </c>
      <c r="C92" s="48" cm="1">
        <f t="array" ref="C92">MuertesEnAnio3("Femenino", A92, "PENSIONADOS", Hombres!$A$1:$DW$117, Mujeres!$A$1:$DW$117, Pensionados!$A$2:$G$166,'Empleados activos'!$A$2:$I$225)</f>
        <v>1.012460885185803E-4</v>
      </c>
      <c r="D92" s="48">
        <f t="shared" si="2"/>
        <v>2.1503727303547821E-3</v>
      </c>
    </row>
    <row r="93" spans="1:4" x14ac:dyDescent="0.35">
      <c r="A93" s="12">
        <f t="shared" si="3"/>
        <v>2116</v>
      </c>
      <c r="B93" s="48" cm="1">
        <f t="array" ref="B93">MuertesEnAnio3("Masculino", A93, "PENSIONADOS", Hombres!$A$1:$DW$117, Mujeres!$A$1:$DW$117, Pensionados!$A$2:$G$166,'Empleados activos'!$A$2:$I$225)</f>
        <v>9.0285982416172747E-4</v>
      </c>
      <c r="C93" s="47" cm="1">
        <f t="array" ref="C93">MuertesEnAnio3("Femenino", A93, "PENSIONADOS", Hombres!$A$1:$DW$117, Mujeres!$A$1:$DW$117, Pensionados!$A$2:$G$166,'Empleados activos'!$A$2:$I$225)</f>
        <v>1.6499052002800045E-5</v>
      </c>
      <c r="D93" s="48">
        <f t="shared" si="2"/>
        <v>9.1935887616452754E-4</v>
      </c>
    </row>
    <row r="94" spans="1:4" x14ac:dyDescent="0.35">
      <c r="A94" s="12">
        <f t="shared" si="3"/>
        <v>2117</v>
      </c>
      <c r="B94" s="48" cm="1">
        <f t="array" ref="B94">MuertesEnAnio3("Masculino", A94, "PENSIONADOS", Hombres!$A$1:$DW$117, Mujeres!$A$1:$DW$117, Pensionados!$A$2:$G$166,'Empleados activos'!$A$2:$I$225)</f>
        <v>3.5009605834935989E-4</v>
      </c>
      <c r="C94" s="47" cm="1">
        <f t="array" ref="C94">MuertesEnAnio3("Femenino", A94, "PENSIONADOS", Hombres!$A$1:$DW$117, Mujeres!$A$1:$DW$117, Pensionados!$A$2:$G$166,'Empleados activos'!$A$2:$I$225)</f>
        <v>1.4919449343855148E-6</v>
      </c>
      <c r="D94" s="48">
        <f t="shared" si="2"/>
        <v>3.5158800328374541E-4</v>
      </c>
    </row>
    <row r="95" spans="1:4" x14ac:dyDescent="0.35">
      <c r="A95" s="12">
        <f t="shared" si="3"/>
        <v>2118</v>
      </c>
      <c r="B95" s="48" cm="1">
        <f t="array" ref="B95">MuertesEnAnio3("Masculino", A95, "PENSIONADOS", Hombres!$A$1:$DW$117, Mujeres!$A$1:$DW$117, Pensionados!$A$2:$G$166,'Empleados activos'!$A$2:$I$225)</f>
        <v>1.1862443813591287E-4</v>
      </c>
      <c r="C95" s="48" cm="1">
        <f t="array" ref="C95">MuertesEnAnio3("Femenino", A95, "PENSIONADOS", Hombres!$A$1:$DW$117, Mujeres!$A$1:$DW$117, Pensionados!$A$2:$G$166,'Empleados activos'!$A$2:$I$225)</f>
        <v>0</v>
      </c>
      <c r="D95" s="48">
        <f t="shared" si="2"/>
        <v>1.1862443813591287E-4</v>
      </c>
    </row>
    <row r="96" spans="1:4" x14ac:dyDescent="0.35">
      <c r="A96" s="49">
        <f t="shared" si="3"/>
        <v>2119</v>
      </c>
      <c r="B96" s="48" cm="1">
        <f t="array" ref="B96">MuertesEnAnio3("Masculino", A96, "PENSIONADOS", Hombres!$A$1:$DW$117, Mujeres!$A$1:$DW$117, Pensionados!$A$2:$G$166,'Empleados activos'!$A$2:$I$225)</f>
        <v>3.9127270317810291E-5</v>
      </c>
      <c r="C96" s="48" cm="1">
        <f t="array" ref="C96">MuertesEnAnio3("Femenino", A96, "PENSIONADOS", Hombres!$A$1:$DW$117, Mujeres!$A$1:$DW$117, Pensionados!$A$2:$G$166,'Empleados activos'!$A$2:$I$225)</f>
        <v>0</v>
      </c>
      <c r="D96" s="48">
        <f t="shared" si="2"/>
        <v>3.9127270317810291E-5</v>
      </c>
    </row>
    <row r="97" spans="1:4" x14ac:dyDescent="0.35">
      <c r="A97" s="49">
        <f t="shared" si="3"/>
        <v>2120</v>
      </c>
      <c r="B97" s="48" cm="1">
        <f t="array" ref="B97">MuertesEnAnio3("Masculino", A97, "PENSIONADOS", Hombres!$A$1:$DW$117, Mujeres!$A$1:$DW$117, Pensionados!$A$2:$G$166,'Empleados activos'!$A$2:$I$225)</f>
        <v>0</v>
      </c>
      <c r="C97" s="48" cm="1">
        <f t="array" ref="C97">MuertesEnAnio3("Femenino", A97, "PENSIONADOS", Hombres!$A$1:$DW$117, Mujeres!$A$1:$DW$117, Pensionados!$A$2:$G$166,'Empleados activos'!$A$2:$I$225)</f>
        <v>0</v>
      </c>
      <c r="D97" s="48">
        <f t="shared" ref="D97" si="4">B97+C97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E46"/>
  <sheetViews>
    <sheetView topLeftCell="A39" workbookViewId="0">
      <selection activeCell="C45" sqref="C45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5" x14ac:dyDescent="0.35">
      <c r="A1" s="30" t="s">
        <v>18</v>
      </c>
      <c r="B1" s="30" t="s">
        <v>5</v>
      </c>
      <c r="C1" s="31" t="s">
        <v>6</v>
      </c>
      <c r="D1" s="30" t="s">
        <v>19</v>
      </c>
    </row>
    <row r="2" spans="1:5" x14ac:dyDescent="0.35">
      <c r="A2" s="32">
        <v>2025</v>
      </c>
      <c r="B2" s="45" cm="1">
        <f t="array" ref="B2">MuertesEnAnio3("Masculino", A2, "ACTIVOS", Hombres!$A$1:$DW$117, Mujeres!$A$1:$DW$117, Pensionados!$A$2:$G$166,'Empleados activos'!$A$2:$I$225)</f>
        <v>0.19323800000000005</v>
      </c>
      <c r="C2" s="44" cm="1">
        <f t="array" ref="C2">MuertesEnAnio3("Femenino", A2, "ACTIVOS", Hombres!$A$1:$DW$117, Mujeres!$A$1:$DW$117, Pensionados!$A$2:$G$166,'Empleados activos'!$A$2:$I$225)</f>
        <v>8.9534200000000022E-2</v>
      </c>
      <c r="D2" s="45">
        <f>C2+B2</f>
        <v>0.28277220000000008</v>
      </c>
      <c r="E2" s="50"/>
    </row>
    <row r="3" spans="1:5" x14ac:dyDescent="0.35">
      <c r="A3" s="32">
        <f>A2+1</f>
        <v>2026</v>
      </c>
      <c r="B3" s="45" cm="1">
        <f t="array" ref="B3">MuertesEnAnio3("Masculino", A3, "ACTIVOS", Hombres!$A$1:$DW$117, Mujeres!$A$1:$DW$117, Pensionados!$A$2:$G$166,'Empleados activos'!$A$2:$I$225)</f>
        <v>0.19080750000000002</v>
      </c>
      <c r="C3" s="46" cm="1">
        <f t="array" ref="C3">MuertesEnAnio3("Femenino", A3, "ACTIVOS", Hombres!$A$1:$DW$117, Mujeres!$A$1:$DW$117, Pensionados!$A$2:$G$166,'Empleados activos'!$A$2:$I$225)</f>
        <v>8.7434699999999962E-2</v>
      </c>
      <c r="D3" s="45">
        <f>B3+C3</f>
        <v>0.2782422</v>
      </c>
      <c r="E3" s="50"/>
    </row>
    <row r="4" spans="1:5" x14ac:dyDescent="0.35">
      <c r="A4" s="32">
        <f t="shared" ref="A4:A46" si="0">A3+1</f>
        <v>2027</v>
      </c>
      <c r="B4" s="45" cm="1">
        <f t="array" ref="B4">MuertesEnAnio3("Masculino", A4, "ACTIVOS", Hombres!$A$1:$DW$117, Mujeres!$A$1:$DW$117, Pensionados!$A$2:$G$166,'Empleados activos'!$A$2:$I$225)</f>
        <v>0.19749387484093997</v>
      </c>
      <c r="C4" s="46" cm="1">
        <f t="array" ref="C4">MuertesEnAnio3("Femenino", A4, "ACTIVOS", Hombres!$A$1:$DW$117, Mujeres!$A$1:$DW$117, Pensionados!$A$2:$G$166,'Empleados activos'!$A$2:$I$225)</f>
        <v>9.228598413950001E-2</v>
      </c>
      <c r="D4" s="45">
        <f t="shared" ref="D3:D44" si="1">B4+C4</f>
        <v>0.28977985898044001</v>
      </c>
      <c r="E4" s="50"/>
    </row>
    <row r="5" spans="1:5" x14ac:dyDescent="0.35">
      <c r="A5" s="32">
        <f t="shared" si="0"/>
        <v>2028</v>
      </c>
      <c r="B5" s="45" cm="1">
        <f t="array" ref="B5">MuertesEnAnio3("Masculino", A5, "ACTIVOS", Hombres!$A$1:$DW$117, Mujeres!$A$1:$DW$117, Pensionados!$A$2:$G$166,'Empleados activos'!$A$2:$I$225)</f>
        <v>0.20537903929141407</v>
      </c>
      <c r="C5" s="46" cm="1">
        <f t="array" ref="C5">MuertesEnAnio3("Femenino", A5, "ACTIVOS", Hombres!$A$1:$DW$117, Mujeres!$A$1:$DW$117, Pensionados!$A$2:$G$166,'Empleados activos'!$A$2:$I$225)</f>
        <v>9.7722170460584915E-2</v>
      </c>
      <c r="D5" s="45">
        <f t="shared" si="1"/>
        <v>0.303101209751999</v>
      </c>
      <c r="E5" s="50"/>
    </row>
    <row r="6" spans="1:5" x14ac:dyDescent="0.35">
      <c r="A6" s="32">
        <f t="shared" si="0"/>
        <v>2029</v>
      </c>
      <c r="B6" s="45" cm="1">
        <f t="array" ref="B6">MuertesEnAnio3("Masculino", A6, "ACTIVOS", Hombres!$A$1:$DW$117, Mujeres!$A$1:$DW$117, Pensionados!$A$2:$G$166,'Empleados activos'!$A$2:$I$225)</f>
        <v>0.20321526738467835</v>
      </c>
      <c r="C6" s="46" cm="1">
        <f t="array" ref="C6">MuertesEnAnio3("Femenino", A6, "ACTIVOS", Hombres!$A$1:$DW$117, Mujeres!$A$1:$DW$117, Pensionados!$A$2:$G$166,'Empleados activos'!$A$2:$I$225)</f>
        <v>0.10363350143500187</v>
      </c>
      <c r="D6" s="45">
        <f t="shared" si="1"/>
        <v>0.30684876881968021</v>
      </c>
      <c r="E6" s="50"/>
    </row>
    <row r="7" spans="1:5" x14ac:dyDescent="0.35">
      <c r="A7" s="32">
        <f t="shared" si="0"/>
        <v>2030</v>
      </c>
      <c r="B7" s="45" cm="1">
        <f t="array" ref="B7">MuertesEnAnio3("Masculino", A7, "ACTIVOS", Hombres!$A$1:$DW$117, Mujeres!$A$1:$DW$117, Pensionados!$A$2:$G$166,'Empleados activos'!$A$2:$I$225)</f>
        <v>0.21234089034616419</v>
      </c>
      <c r="C7" s="46" cm="1">
        <f t="array" ref="C7">MuertesEnAnio3("Femenino", A7, "ACTIVOS", Hombres!$A$1:$DW$117, Mujeres!$A$1:$DW$117, Pensionados!$A$2:$G$166,'Empleados activos'!$A$2:$I$225)</f>
        <v>0.10996487438070537</v>
      </c>
      <c r="D7" s="45">
        <f t="shared" si="1"/>
        <v>0.32230576472686956</v>
      </c>
      <c r="E7" s="50"/>
    </row>
    <row r="8" spans="1:5" x14ac:dyDescent="0.35">
      <c r="A8" s="32">
        <f t="shared" si="0"/>
        <v>2031</v>
      </c>
      <c r="B8" s="45" cm="1">
        <f t="array" ref="B8">MuertesEnAnio3("Masculino", A8, "ACTIVOS", Hombres!$A$1:$DW$117, Mujeres!$A$1:$DW$117, Pensionados!$A$2:$G$166,'Empleados activos'!$A$2:$I$225)</f>
        <v>0.2225641875207196</v>
      </c>
      <c r="C8" s="46" cm="1">
        <f t="array" ref="C8">MuertesEnAnio3("Femenino", A8, "ACTIVOS", Hombres!$A$1:$DW$117, Mujeres!$A$1:$DW$117, Pensionados!$A$2:$G$166,'Empleados activos'!$A$2:$I$225)</f>
        <v>0.11192337571198151</v>
      </c>
      <c r="D8" s="45">
        <f t="shared" si="1"/>
        <v>0.33448756323270112</v>
      </c>
      <c r="E8" s="50"/>
    </row>
    <row r="9" spans="1:5" x14ac:dyDescent="0.35">
      <c r="A9" s="32">
        <f t="shared" si="0"/>
        <v>2032</v>
      </c>
      <c r="B9" s="45" cm="1">
        <f t="array" ref="B9">MuertesEnAnio3("Masculino", A9, "ACTIVOS", Hombres!$A$1:$DW$117, Mujeres!$A$1:$DW$117, Pensionados!$A$2:$G$166,'Empleados activos'!$A$2:$I$225)</f>
        <v>0.23422148257111336</v>
      </c>
      <c r="C9" s="46" cm="1">
        <f t="array" ref="C9">MuertesEnAnio3("Femenino", A9, "ACTIVOS", Hombres!$A$1:$DW$117, Mujeres!$A$1:$DW$117, Pensionados!$A$2:$G$166,'Empleados activos'!$A$2:$I$225)</f>
        <v>0.11439497020284027</v>
      </c>
      <c r="D9" s="45">
        <f t="shared" si="1"/>
        <v>0.34861645277395364</v>
      </c>
      <c r="E9" s="50"/>
    </row>
    <row r="10" spans="1:5" x14ac:dyDescent="0.35">
      <c r="A10" s="32">
        <f t="shared" si="0"/>
        <v>2033</v>
      </c>
      <c r="B10" s="45" cm="1">
        <f t="array" ref="B10">MuertesEnAnio3("Masculino", A10, "ACTIVOS", Hombres!$A$1:$DW$117, Mujeres!$A$1:$DW$117, Pensionados!$A$2:$G$166,'Empleados activos'!$A$2:$I$225)</f>
        <v>0.24718872969898395</v>
      </c>
      <c r="C10" s="46" cm="1">
        <f t="array" ref="C10">MuertesEnAnio3("Femenino", A10, "ACTIVOS", Hombres!$A$1:$DW$117, Mujeres!$A$1:$DW$117, Pensionados!$A$2:$G$166,'Empleados activos'!$A$2:$I$225)</f>
        <v>0.11733649555347266</v>
      </c>
      <c r="D10" s="45">
        <f t="shared" si="1"/>
        <v>0.36452522525245662</v>
      </c>
      <c r="E10" s="50"/>
    </row>
    <row r="11" spans="1:5" x14ac:dyDescent="0.35">
      <c r="A11" s="32">
        <f t="shared" si="0"/>
        <v>2034</v>
      </c>
      <c r="B11" s="45" cm="1">
        <f t="array" ref="B11">MuertesEnAnio3("Masculino", A11, "ACTIVOS", Hombres!$A$1:$DW$117, Mujeres!$A$1:$DW$117, Pensionados!$A$2:$G$166,'Empleados activos'!$A$2:$I$225)</f>
        <v>0.26095999740272247</v>
      </c>
      <c r="C11" s="46" cm="1">
        <f t="array" ref="C11">MuertesEnAnio3("Femenino", A11, "ACTIVOS", Hombres!$A$1:$DW$117, Mujeres!$A$1:$DW$117, Pensionados!$A$2:$G$166,'Empleados activos'!$A$2:$I$225)</f>
        <v>0.12516529399374565</v>
      </c>
      <c r="D11" s="45">
        <f t="shared" si="1"/>
        <v>0.38612529139646812</v>
      </c>
      <c r="E11" s="50"/>
    </row>
    <row r="12" spans="1:5" x14ac:dyDescent="0.35">
      <c r="A12" s="32">
        <f t="shared" si="0"/>
        <v>2035</v>
      </c>
      <c r="B12" s="45" cm="1">
        <f t="array" ref="B12">MuertesEnAnio3("Masculino", A12, "ACTIVOS", Hombres!$A$1:$DW$117, Mujeres!$A$1:$DW$117, Pensionados!$A$2:$G$166,'Empleados activos'!$A$2:$I$225)</f>
        <v>0.2751461290917287</v>
      </c>
      <c r="C12" s="46" cm="1">
        <f t="array" ref="C12">MuertesEnAnio3("Femenino", A12, "ACTIVOS", Hombres!$A$1:$DW$117, Mujeres!$A$1:$DW$117, Pensionados!$A$2:$G$166,'Empleados activos'!$A$2:$I$225)</f>
        <v>0.12879991864603524</v>
      </c>
      <c r="D12" s="45">
        <f t="shared" si="1"/>
        <v>0.40394604773776394</v>
      </c>
      <c r="E12" s="50"/>
    </row>
    <row r="13" spans="1:5" x14ac:dyDescent="0.35">
      <c r="A13" s="32">
        <f t="shared" si="0"/>
        <v>2036</v>
      </c>
      <c r="B13" s="45" cm="1">
        <f t="array" ref="B13">MuertesEnAnio3("Masculino", A13, "ACTIVOS", Hombres!$A$1:$DW$117, Mujeres!$A$1:$DW$117, Pensionados!$A$2:$G$166,'Empleados activos'!$A$2:$I$225)</f>
        <v>0.29029842144786561</v>
      </c>
      <c r="C13" s="46" cm="1">
        <f t="array" ref="C13">MuertesEnAnio3("Femenino", A13, "ACTIVOS", Hombres!$A$1:$DW$117, Mujeres!$A$1:$DW$117, Pensionados!$A$2:$G$166,'Empleados activos'!$A$2:$I$225)</f>
        <v>0.13736454131145659</v>
      </c>
      <c r="D13" s="45">
        <f t="shared" si="1"/>
        <v>0.4276629627593222</v>
      </c>
      <c r="E13" s="50"/>
    </row>
    <row r="14" spans="1:5" x14ac:dyDescent="0.35">
      <c r="A14" s="32">
        <f t="shared" si="0"/>
        <v>2037</v>
      </c>
      <c r="B14" s="45" cm="1">
        <f t="array" ref="B14">MuertesEnAnio3("Masculino", A14, "ACTIVOS", Hombres!$A$1:$DW$117, Mujeres!$A$1:$DW$117, Pensionados!$A$2:$G$166,'Empleados activos'!$A$2:$I$225)</f>
        <v>0.29750246154154691</v>
      </c>
      <c r="C14" s="46" cm="1">
        <f t="array" ref="C14">MuertesEnAnio3("Femenino", A14, "ACTIVOS", Hombres!$A$1:$DW$117, Mujeres!$A$1:$DW$117, Pensionados!$A$2:$G$166,'Empleados activos'!$A$2:$I$225)</f>
        <v>0.14700387374097512</v>
      </c>
      <c r="D14" s="45">
        <f t="shared" si="1"/>
        <v>0.44450633528252204</v>
      </c>
      <c r="E14" s="50"/>
    </row>
    <row r="15" spans="1:5" x14ac:dyDescent="0.35">
      <c r="A15" s="32">
        <f t="shared" si="0"/>
        <v>2038</v>
      </c>
      <c r="B15" s="45" cm="1">
        <f t="array" ref="B15">MuertesEnAnio3("Masculino", A15, "ACTIVOS", Hombres!$A$1:$DW$117, Mujeres!$A$1:$DW$117, Pensionados!$A$2:$G$166,'Empleados activos'!$A$2:$I$225)</f>
        <v>0.31594293577796773</v>
      </c>
      <c r="C15" s="46" cm="1">
        <f t="array" ref="C15">MuertesEnAnio3("Femenino", A15, "ACTIVOS", Hombres!$A$1:$DW$117, Mujeres!$A$1:$DW$117, Pensionados!$A$2:$G$166,'Empleados activos'!$A$2:$I$225)</f>
        <v>0.15340601677644855</v>
      </c>
      <c r="D15" s="45">
        <f t="shared" si="1"/>
        <v>0.46934895255441628</v>
      </c>
      <c r="E15" s="50"/>
    </row>
    <row r="16" spans="1:5" x14ac:dyDescent="0.35">
      <c r="A16" s="32">
        <f t="shared" si="0"/>
        <v>2039</v>
      </c>
      <c r="B16" s="45" cm="1">
        <f t="array" ref="B16">MuertesEnAnio3("Masculino", A16, "ACTIVOS", Hombres!$A$1:$DW$117, Mujeres!$A$1:$DW$117, Pensionados!$A$2:$G$166,'Empleados activos'!$A$2:$I$225)</f>
        <v>0.32703063428095064</v>
      </c>
      <c r="C16" s="46" cm="1">
        <f t="array" ref="C16">MuertesEnAnio3("Femenino", A16, "ACTIVOS", Hombres!$A$1:$DW$117, Mujeres!$A$1:$DW$117, Pensionados!$A$2:$G$166,'Empleados activos'!$A$2:$I$225)</f>
        <v>0.15611267644445889</v>
      </c>
      <c r="D16" s="45">
        <f t="shared" si="1"/>
        <v>0.4831433107254095</v>
      </c>
      <c r="E16" s="50"/>
    </row>
    <row r="17" spans="1:5" x14ac:dyDescent="0.35">
      <c r="A17" s="32">
        <f t="shared" si="0"/>
        <v>2040</v>
      </c>
      <c r="B17" s="45" cm="1">
        <f t="array" ref="B17">MuertesEnAnio3("Masculino", A17, "ACTIVOS", Hombres!$A$1:$DW$117, Mujeres!$A$1:$DW$117, Pensionados!$A$2:$G$166,'Empleados activos'!$A$2:$I$225)</f>
        <v>0.32087481431220316</v>
      </c>
      <c r="C17" s="46" cm="1">
        <f t="array" ref="C17">MuertesEnAnio3("Femenino", A17, "ACTIVOS", Hombres!$A$1:$DW$117, Mujeres!$A$1:$DW$117, Pensionados!$A$2:$G$166,'Empleados activos'!$A$2:$I$225)</f>
        <v>0.15484685475213145</v>
      </c>
      <c r="D17" s="45">
        <f t="shared" si="1"/>
        <v>0.47572166906433461</v>
      </c>
      <c r="E17" s="50"/>
    </row>
    <row r="18" spans="1:5" x14ac:dyDescent="0.35">
      <c r="A18" s="32">
        <f t="shared" si="0"/>
        <v>2041</v>
      </c>
      <c r="B18" s="45" cm="1">
        <f t="array" ref="B18">MuertesEnAnio3("Masculino", A18, "ACTIVOS", Hombres!$A$1:$DW$117, Mujeres!$A$1:$DW$117, Pensionados!$A$2:$G$166,'Empleados activos'!$A$2:$I$225)</f>
        <v>0.30553714065971432</v>
      </c>
      <c r="C18" s="46" cm="1">
        <f t="array" ref="C18">MuertesEnAnio3("Femenino", A18, "ACTIVOS", Hombres!$A$1:$DW$117, Mujeres!$A$1:$DW$117, Pensionados!$A$2:$G$166,'Empleados activos'!$A$2:$I$225)</f>
        <v>0.15385247383408732</v>
      </c>
      <c r="D18" s="45">
        <f t="shared" si="1"/>
        <v>0.45938961449380167</v>
      </c>
      <c r="E18" s="50"/>
    </row>
    <row r="19" spans="1:5" x14ac:dyDescent="0.35">
      <c r="A19" s="32">
        <f t="shared" si="0"/>
        <v>2042</v>
      </c>
      <c r="B19" s="45" cm="1">
        <f t="array" ref="B19">MuertesEnAnio3("Masculino", A19, "ACTIVOS", Hombres!$A$1:$DW$117, Mujeres!$A$1:$DW$117, Pensionados!$A$2:$G$166,'Empleados activos'!$A$2:$I$225)</f>
        <v>0.31633357657485134</v>
      </c>
      <c r="C19" s="46" cm="1">
        <f t="array" ref="C19">MuertesEnAnio3("Femenino", A19, "ACTIVOS", Hombres!$A$1:$DW$117, Mujeres!$A$1:$DW$117, Pensionados!$A$2:$G$166,'Empleados activos'!$A$2:$I$225)</f>
        <v>0.15736994367668489</v>
      </c>
      <c r="D19" s="45">
        <f t="shared" si="1"/>
        <v>0.47370352025153623</v>
      </c>
      <c r="E19" s="50"/>
    </row>
    <row r="20" spans="1:5" x14ac:dyDescent="0.35">
      <c r="A20" s="32">
        <f t="shared" si="0"/>
        <v>2043</v>
      </c>
      <c r="B20" s="45" cm="1">
        <f t="array" ref="B20">MuertesEnAnio3("Masculino", A20, "ACTIVOS", Hombres!$A$1:$DW$117, Mujeres!$A$1:$DW$117, Pensionados!$A$2:$G$166,'Empleados activos'!$A$2:$I$225)</f>
        <v>0.31005182399106906</v>
      </c>
      <c r="C20" s="46" cm="1">
        <f t="array" ref="C20">MuertesEnAnio3("Femenino", A20, "ACTIVOS", Hombres!$A$1:$DW$117, Mujeres!$A$1:$DW$117, Pensionados!$A$2:$G$166,'Empleados activos'!$A$2:$I$225)</f>
        <v>0.15367408122454523</v>
      </c>
      <c r="D20" s="45">
        <f t="shared" si="1"/>
        <v>0.4637259052156143</v>
      </c>
      <c r="E20" s="50"/>
    </row>
    <row r="21" spans="1:5" x14ac:dyDescent="0.35">
      <c r="A21" s="32">
        <f t="shared" si="0"/>
        <v>2044</v>
      </c>
      <c r="B21" s="45" cm="1">
        <f t="array" ref="B21">MuertesEnAnio3("Masculino", A21, "ACTIVOS", Hombres!$A$1:$DW$117, Mujeres!$A$1:$DW$117, Pensionados!$A$2:$G$166,'Empleados activos'!$A$2:$I$225)</f>
        <v>0.32946374480864288</v>
      </c>
      <c r="C21" s="46" cm="1">
        <f t="array" ref="C21">MuertesEnAnio3("Femenino", A21, "ACTIVOS", Hombres!$A$1:$DW$117, Mujeres!$A$1:$DW$117, Pensionados!$A$2:$G$166,'Empleados activos'!$A$2:$I$225)</f>
        <v>0.14582083105217269</v>
      </c>
      <c r="D21" s="45">
        <f t="shared" si="1"/>
        <v>0.47528457586081557</v>
      </c>
      <c r="E21" s="50"/>
    </row>
    <row r="22" spans="1:5" x14ac:dyDescent="0.35">
      <c r="A22" s="32">
        <f t="shared" si="0"/>
        <v>2045</v>
      </c>
      <c r="B22" s="45" cm="1">
        <f t="array" ref="B22">MuertesEnAnio3("Masculino", A22, "ACTIVOS", Hombres!$A$1:$DW$117, Mujeres!$A$1:$DW$117, Pensionados!$A$2:$G$166,'Empleados activos'!$A$2:$I$225)</f>
        <v>0.32428648038741714</v>
      </c>
      <c r="C22" s="46" cm="1">
        <f t="array" ref="C22">MuertesEnAnio3("Femenino", A22, "ACTIVOS", Hombres!$A$1:$DW$117, Mujeres!$A$1:$DW$117, Pensionados!$A$2:$G$166,'Empleados activos'!$A$2:$I$225)</f>
        <v>0.1488133167991795</v>
      </c>
      <c r="D22" s="45">
        <f t="shared" si="1"/>
        <v>0.47309979718659667</v>
      </c>
      <c r="E22" s="50"/>
    </row>
    <row r="23" spans="1:5" x14ac:dyDescent="0.35">
      <c r="A23" s="32">
        <f t="shared" si="0"/>
        <v>2046</v>
      </c>
      <c r="B23" s="45" cm="1">
        <f t="array" ref="B23">MuertesEnAnio3("Masculino", A23, "ACTIVOS", Hombres!$A$1:$DW$117, Mujeres!$A$1:$DW$117, Pensionados!$A$2:$G$166,'Empleados activos'!$A$2:$I$225)</f>
        <v>0.33699916344512926</v>
      </c>
      <c r="C23" s="46" cm="1">
        <f t="array" ref="C23">MuertesEnAnio3("Femenino", A23, "ACTIVOS", Hombres!$A$1:$DW$117, Mujeres!$A$1:$DW$117, Pensionados!$A$2:$G$166,'Empleados activos'!$A$2:$I$225)</f>
        <v>0.14486025517067136</v>
      </c>
      <c r="D23" s="45">
        <f t="shared" si="1"/>
        <v>0.48185941861580062</v>
      </c>
      <c r="E23" s="50"/>
    </row>
    <row r="24" spans="1:5" x14ac:dyDescent="0.35">
      <c r="A24" s="32">
        <f t="shared" si="0"/>
        <v>2047</v>
      </c>
      <c r="B24" s="45" cm="1">
        <f t="array" ref="B24">MuertesEnAnio3("Masculino", A24, "ACTIVOS", Hombres!$A$1:$DW$117, Mujeres!$A$1:$DW$117, Pensionados!$A$2:$G$166,'Empleados activos'!$A$2:$I$225)</f>
        <v>0.30186412151815911</v>
      </c>
      <c r="C24" s="46" cm="1">
        <f t="array" ref="C24">MuertesEnAnio3("Femenino", A24, "ACTIVOS", Hombres!$A$1:$DW$117, Mujeres!$A$1:$DW$117, Pensionados!$A$2:$G$166,'Empleados activos'!$A$2:$I$225)</f>
        <v>0.14497987415102007</v>
      </c>
      <c r="D24" s="45">
        <f t="shared" si="1"/>
        <v>0.44684399566917921</v>
      </c>
      <c r="E24" s="50"/>
    </row>
    <row r="25" spans="1:5" x14ac:dyDescent="0.35">
      <c r="A25" s="32">
        <f t="shared" si="0"/>
        <v>2048</v>
      </c>
      <c r="B25" s="45" cm="1">
        <f t="array" ref="B25">MuertesEnAnio3("Masculino", A25, "ACTIVOS", Hombres!$A$1:$DW$117, Mujeres!$A$1:$DW$117, Pensionados!$A$2:$G$166,'Empleados activos'!$A$2:$I$225)</f>
        <v>0.31623560761589226</v>
      </c>
      <c r="C25" s="46" cm="1">
        <f t="array" ref="C25">MuertesEnAnio3("Femenino", A25, "ACTIVOS", Hombres!$A$1:$DW$117, Mujeres!$A$1:$DW$117, Pensionados!$A$2:$G$166,'Empleados activos'!$A$2:$I$225)</f>
        <v>0.1492951868672372</v>
      </c>
      <c r="D25" s="45">
        <f t="shared" si="1"/>
        <v>0.46553079448312945</v>
      </c>
      <c r="E25" s="50"/>
    </row>
    <row r="26" spans="1:5" x14ac:dyDescent="0.35">
      <c r="A26" s="32">
        <f t="shared" si="0"/>
        <v>2049</v>
      </c>
      <c r="B26" s="45" cm="1">
        <f t="array" ref="B26">MuertesEnAnio3("Masculino", A26, "ACTIVOS", Hombres!$A$1:$DW$117, Mujeres!$A$1:$DW$117, Pensionados!$A$2:$G$166,'Empleados activos'!$A$2:$I$225)</f>
        <v>0.33242009254074911</v>
      </c>
      <c r="C26" s="46" cm="1">
        <f t="array" ref="C26">MuertesEnAnio3("Femenino", A26, "ACTIVOS", Hombres!$A$1:$DW$117, Mujeres!$A$1:$DW$117, Pensionados!$A$2:$G$166,'Empleados activos'!$A$2:$I$225)</f>
        <v>0.13634214487183877</v>
      </c>
      <c r="D26" s="45">
        <f t="shared" si="1"/>
        <v>0.46876223741258788</v>
      </c>
      <c r="E26" s="50"/>
    </row>
    <row r="27" spans="1:5" x14ac:dyDescent="0.35">
      <c r="A27" s="32">
        <f t="shared" si="0"/>
        <v>2050</v>
      </c>
      <c r="B27" s="45" cm="1">
        <f t="array" ref="B27">MuertesEnAnio3("Masculino", A27, "ACTIVOS", Hombres!$A$1:$DW$117, Mujeres!$A$1:$DW$117, Pensionados!$A$2:$G$166,'Empleados activos'!$A$2:$I$225)</f>
        <v>0.34978457944889191</v>
      </c>
      <c r="C27" s="46" cm="1">
        <f t="array" ref="C27">MuertesEnAnio3("Femenino", A27, "ACTIVOS", Hombres!$A$1:$DW$117, Mujeres!$A$1:$DW$117, Pensionados!$A$2:$G$166,'Empleados activos'!$A$2:$I$225)</f>
        <v>0.11885833552429725</v>
      </c>
      <c r="D27" s="45">
        <f t="shared" si="1"/>
        <v>0.46864291497318916</v>
      </c>
      <c r="E27" s="50"/>
    </row>
    <row r="28" spans="1:5" x14ac:dyDescent="0.35">
      <c r="A28" s="32">
        <f t="shared" si="0"/>
        <v>2051</v>
      </c>
      <c r="B28" s="45" cm="1">
        <f t="array" ref="B28">MuertesEnAnio3("Masculino", A28, "ACTIVOS", Hombres!$A$1:$DW$117, Mujeres!$A$1:$DW$117, Pensionados!$A$2:$G$166,'Empleados activos'!$A$2:$I$225)</f>
        <v>0.35977118998852098</v>
      </c>
      <c r="C28" s="46" cm="1">
        <f t="array" ref="C28">MuertesEnAnio3("Femenino", A28, "ACTIVOS", Hombres!$A$1:$DW$117, Mujeres!$A$1:$DW$117, Pensionados!$A$2:$G$166,'Empleados activos'!$A$2:$I$225)</f>
        <v>0.12084521096506887</v>
      </c>
      <c r="D28" s="45">
        <f t="shared" si="1"/>
        <v>0.48061640095358982</v>
      </c>
      <c r="E28" s="50"/>
    </row>
    <row r="29" spans="1:5" x14ac:dyDescent="0.35">
      <c r="A29" s="32">
        <f t="shared" si="0"/>
        <v>2052</v>
      </c>
      <c r="B29" s="45" cm="1">
        <f t="array" ref="B29">MuertesEnAnio3("Masculino", A29, "ACTIVOS", Hombres!$A$1:$DW$117, Mujeres!$A$1:$DW$117, Pensionados!$A$2:$G$166,'Empleados activos'!$A$2:$I$225)</f>
        <v>0.36992734597353893</v>
      </c>
      <c r="C29" s="46" cm="1">
        <f t="array" ref="C29">MuertesEnAnio3("Femenino", A29, "ACTIVOS", Hombres!$A$1:$DW$117, Mujeres!$A$1:$DW$117, Pensionados!$A$2:$G$166,'Empleados activos'!$A$2:$I$225)</f>
        <v>0.1134646731730934</v>
      </c>
      <c r="D29" s="45">
        <f t="shared" si="1"/>
        <v>0.48339201914663232</v>
      </c>
      <c r="E29" s="50"/>
    </row>
    <row r="30" spans="1:5" x14ac:dyDescent="0.35">
      <c r="A30" s="32">
        <f t="shared" si="0"/>
        <v>2053</v>
      </c>
      <c r="B30" s="45" cm="1">
        <f t="array" ref="B30">MuertesEnAnio3("Masculino", A30, "ACTIVOS", Hombres!$A$1:$DW$117, Mujeres!$A$1:$DW$117, Pensionados!$A$2:$G$166,'Empleados activos'!$A$2:$I$225)</f>
        <v>0.3570880278409348</v>
      </c>
      <c r="C30" s="46" cm="1">
        <f t="array" ref="C30">MuertesEnAnio3("Femenino", A30, "ACTIVOS", Hombres!$A$1:$DW$117, Mujeres!$A$1:$DW$117, Pensionados!$A$2:$G$166,'Empleados activos'!$A$2:$I$225)</f>
        <v>0.10943588180466325</v>
      </c>
      <c r="D30" s="45">
        <f t="shared" si="1"/>
        <v>0.46652390964559803</v>
      </c>
      <c r="E30" s="50"/>
    </row>
    <row r="31" spans="1:5" x14ac:dyDescent="0.35">
      <c r="A31" s="32">
        <f t="shared" si="0"/>
        <v>2054</v>
      </c>
      <c r="B31" s="45" cm="1">
        <f t="array" ref="B31">MuertesEnAnio3("Masculino", A31, "ACTIVOS", Hombres!$A$1:$DW$117, Mujeres!$A$1:$DW$117, Pensionados!$A$2:$G$166,'Empleados activos'!$A$2:$I$225)</f>
        <v>0.34311421735239905</v>
      </c>
      <c r="C31" s="46" cm="1">
        <f t="array" ref="C31">MuertesEnAnio3("Femenino", A31, "ACTIVOS", Hombres!$A$1:$DW$117, Mujeres!$A$1:$DW$117, Pensionados!$A$2:$G$166,'Empleados activos'!$A$2:$I$225)</f>
        <v>0.1022211974963233</v>
      </c>
      <c r="D31" s="45">
        <f t="shared" si="1"/>
        <v>0.44533541484872236</v>
      </c>
      <c r="E31" s="50"/>
    </row>
    <row r="32" spans="1:5" x14ac:dyDescent="0.35">
      <c r="A32" s="32">
        <f t="shared" si="0"/>
        <v>2055</v>
      </c>
      <c r="B32" s="45" cm="1">
        <f t="array" ref="B32">MuertesEnAnio3("Masculino", A32, "ACTIVOS", Hombres!$A$1:$DW$117, Mujeres!$A$1:$DW$117, Pensionados!$A$2:$G$166,'Empleados activos'!$A$2:$I$225)</f>
        <v>0.30543728579445706</v>
      </c>
      <c r="C32" s="46" cm="1">
        <f t="array" ref="C32">MuertesEnAnio3("Femenino", A32, "ACTIVOS", Hombres!$A$1:$DW$117, Mujeres!$A$1:$DW$117, Pensionados!$A$2:$G$166,'Empleados activos'!$A$2:$I$225)</f>
        <v>9.1582067196039535E-2</v>
      </c>
      <c r="D32" s="45">
        <f t="shared" si="1"/>
        <v>0.39701935299049662</v>
      </c>
      <c r="E32" s="50"/>
    </row>
    <row r="33" spans="1:5" x14ac:dyDescent="0.35">
      <c r="A33" s="32">
        <f t="shared" si="0"/>
        <v>2056</v>
      </c>
      <c r="B33" s="45" cm="1">
        <f t="array" ref="B33">MuertesEnAnio3("Masculino", A33, "ACTIVOS", Hombres!$A$1:$DW$117, Mujeres!$A$1:$DW$117, Pensionados!$A$2:$G$166,'Empleados activos'!$A$2:$I$225)</f>
        <v>0.2588698590550757</v>
      </c>
      <c r="C33" s="46" cm="1">
        <f t="array" ref="C33">MuertesEnAnio3("Femenino", A33, "ACTIVOS", Hombres!$A$1:$DW$117, Mujeres!$A$1:$DW$117, Pensionados!$A$2:$G$166,'Empleados activos'!$A$2:$I$225)</f>
        <v>6.4928242481280415E-2</v>
      </c>
      <c r="D33" s="45">
        <f t="shared" si="1"/>
        <v>0.32379810153635613</v>
      </c>
      <c r="E33" s="50"/>
    </row>
    <row r="34" spans="1:5" x14ac:dyDescent="0.35">
      <c r="A34" s="32">
        <f t="shared" si="0"/>
        <v>2057</v>
      </c>
      <c r="B34" s="45" cm="1">
        <f t="array" ref="B34">MuertesEnAnio3("Masculino", A34, "ACTIVOS", Hombres!$A$1:$DW$117, Mujeres!$A$1:$DW$117, Pensionados!$A$2:$G$166,'Empleados activos'!$A$2:$I$225)</f>
        <v>0.18096735946919304</v>
      </c>
      <c r="C34" s="46" cm="1">
        <f t="array" ref="C34">MuertesEnAnio3("Femenino", A34, "ACTIVOS", Hombres!$A$1:$DW$117, Mujeres!$A$1:$DW$117, Pensionados!$A$2:$G$166,'Empleados activos'!$A$2:$I$225)</f>
        <v>6.117298523672203E-2</v>
      </c>
      <c r="D34" s="45">
        <f t="shared" si="1"/>
        <v>0.24214034470591506</v>
      </c>
      <c r="E34" s="50"/>
    </row>
    <row r="35" spans="1:5" x14ac:dyDescent="0.35">
      <c r="A35" s="32">
        <f t="shared" si="0"/>
        <v>2058</v>
      </c>
      <c r="B35" s="45" cm="1">
        <f t="array" ref="B35">MuertesEnAnio3("Masculino", A35, "ACTIVOS", Hombres!$A$1:$DW$117, Mujeres!$A$1:$DW$117, Pensionados!$A$2:$G$166,'Empleados activos'!$A$2:$I$225)</f>
        <v>0.15777734014624939</v>
      </c>
      <c r="C35" s="46" cm="1">
        <f t="array" ref="C35">MuertesEnAnio3("Femenino", A35, "ACTIVOS", Hombres!$A$1:$DW$117, Mujeres!$A$1:$DW$117, Pensionados!$A$2:$G$166,'Empleados activos'!$A$2:$I$225)</f>
        <v>5.1420117560129604E-2</v>
      </c>
      <c r="D35" s="45">
        <f t="shared" si="1"/>
        <v>0.20919745770637899</v>
      </c>
      <c r="E35" s="50"/>
    </row>
    <row r="36" spans="1:5" x14ac:dyDescent="0.35">
      <c r="A36" s="32">
        <f t="shared" si="0"/>
        <v>2059</v>
      </c>
      <c r="B36" s="45" cm="1">
        <f t="array" ref="B36">MuertesEnAnio3("Masculino", A36, "ACTIVOS", Hombres!$A$1:$DW$117, Mujeres!$A$1:$DW$117, Pensionados!$A$2:$G$166,'Empleados activos'!$A$2:$I$225)</f>
        <v>0.14039754682898545</v>
      </c>
      <c r="C36" s="46" cm="1">
        <f t="array" ref="C36">MuertesEnAnio3("Femenino", A36, "ACTIVOS", Hombres!$A$1:$DW$117, Mujeres!$A$1:$DW$117, Pensionados!$A$2:$G$166,'Empleados activos'!$A$2:$I$225)</f>
        <v>4.1055504859702871E-2</v>
      </c>
      <c r="D36" s="45">
        <f t="shared" si="1"/>
        <v>0.1814530516886883</v>
      </c>
      <c r="E36" s="50"/>
    </row>
    <row r="37" spans="1:5" x14ac:dyDescent="0.35">
      <c r="A37" s="32">
        <f t="shared" si="0"/>
        <v>2060</v>
      </c>
      <c r="B37" s="45" cm="1">
        <f t="array" ref="B37">MuertesEnAnio3("Masculino", A37, "ACTIVOS", Hombres!$A$1:$DW$117, Mujeres!$A$1:$DW$117, Pensionados!$A$2:$G$166,'Empleados activos'!$A$2:$I$225)</f>
        <v>0.12188340791284656</v>
      </c>
      <c r="C37" s="46" cm="1">
        <f t="array" ref="C37">MuertesEnAnio3("Femenino", A37, "ACTIVOS", Hombres!$A$1:$DW$117, Mujeres!$A$1:$DW$117, Pensionados!$A$2:$G$166,'Empleados activos'!$A$2:$I$225)</f>
        <v>2.7125505472019033E-2</v>
      </c>
      <c r="D37" s="45">
        <f t="shared" si="1"/>
        <v>0.1490089133848656</v>
      </c>
      <c r="E37" s="50"/>
    </row>
    <row r="38" spans="1:5" x14ac:dyDescent="0.35">
      <c r="A38" s="32">
        <f t="shared" si="0"/>
        <v>2061</v>
      </c>
      <c r="B38" s="45" cm="1">
        <f t="array" ref="B38">MuertesEnAnio3("Masculino", A38, "ACTIVOS", Hombres!$A$1:$DW$117, Mujeres!$A$1:$DW$117, Pensionados!$A$2:$G$166,'Empleados activos'!$A$2:$I$225)</f>
        <v>0.10928952023529898</v>
      </c>
      <c r="C38" s="46" cm="1">
        <f t="array" ref="C38">MuertesEnAnio3("Femenino", A38, "ACTIVOS", Hombres!$A$1:$DW$117, Mujeres!$A$1:$DW$117, Pensionados!$A$2:$G$166,'Empleados activos'!$A$2:$I$225)</f>
        <v>2.661584705494012E-2</v>
      </c>
      <c r="D38" s="45">
        <f t="shared" si="1"/>
        <v>0.13590536729023911</v>
      </c>
      <c r="E38" s="50"/>
    </row>
    <row r="39" spans="1:5" x14ac:dyDescent="0.35">
      <c r="A39" s="32">
        <f t="shared" si="0"/>
        <v>2062</v>
      </c>
      <c r="B39" s="45" cm="1">
        <f t="array" ref="B39">MuertesEnAnio3("Masculino", A39, "ACTIVOS", Hombres!$A$1:$DW$117, Mujeres!$A$1:$DW$117, Pensionados!$A$2:$G$166,'Empleados activos'!$A$2:$I$225)</f>
        <v>0.10997420133522752</v>
      </c>
      <c r="C39" s="46" cm="1">
        <f t="array" ref="C39">MuertesEnAnio3("Femenino", A39, "ACTIVOS", Hombres!$A$1:$DW$117, Mujeres!$A$1:$DW$117, Pensionados!$A$2:$G$166,'Empleados activos'!$A$2:$I$225)</f>
        <v>1.792919099029925E-2</v>
      </c>
      <c r="D39" s="45">
        <f t="shared" si="1"/>
        <v>0.12790339232552678</v>
      </c>
      <c r="E39" s="50"/>
    </row>
    <row r="40" spans="1:5" x14ac:dyDescent="0.35">
      <c r="A40" s="32">
        <f t="shared" si="0"/>
        <v>2063</v>
      </c>
      <c r="B40" s="45" cm="1">
        <f t="array" ref="B40">MuertesEnAnio3("Masculino", A40, "ACTIVOS", Hombres!$A$1:$DW$117, Mujeres!$A$1:$DW$117, Pensionados!$A$2:$G$166,'Empleados activos'!$A$2:$I$225)</f>
        <v>9.6962953587436493E-2</v>
      </c>
      <c r="C40" s="46" cm="1">
        <f t="array" ref="C40">MuertesEnAnio3("Femenino", A40, "ACTIVOS", Hombres!$A$1:$DW$117, Mujeres!$A$1:$DW$117, Pensionados!$A$2:$G$166,'Empleados activos'!$A$2:$I$225)</f>
        <v>1.4206701049547224E-2</v>
      </c>
      <c r="D40" s="45">
        <f t="shared" si="1"/>
        <v>0.11116965463698372</v>
      </c>
      <c r="E40" s="50"/>
    </row>
    <row r="41" spans="1:5" x14ac:dyDescent="0.35">
      <c r="A41" s="32">
        <f t="shared" si="0"/>
        <v>2064</v>
      </c>
      <c r="B41" s="45" cm="1">
        <f t="array" ref="B41">MuertesEnAnio3("Masculino", A41, "ACTIVOS", Hombres!$A$1:$DW$117, Mujeres!$A$1:$DW$117, Pensionados!$A$2:$G$166,'Empleados activos'!$A$2:$I$225)</f>
        <v>4.8963884658980043E-2</v>
      </c>
      <c r="C41" s="46" cm="1">
        <f t="array" ref="C41">MuertesEnAnio3("Femenino", A41, "ACTIVOS", Hombres!$A$1:$DW$117, Mujeres!$A$1:$DW$117, Pensionados!$A$2:$G$166,'Empleados activos'!$A$2:$I$225)</f>
        <v>4.8252301025491088E-3</v>
      </c>
      <c r="D41" s="45">
        <f t="shared" si="1"/>
        <v>5.3789114761529151E-2</v>
      </c>
      <c r="E41" s="50"/>
    </row>
    <row r="42" spans="1:5" x14ac:dyDescent="0.35">
      <c r="A42" s="32">
        <f t="shared" si="0"/>
        <v>2065</v>
      </c>
      <c r="B42" s="45" cm="1">
        <f t="array" ref="B42">MuertesEnAnio3("Masculino", A42, "ACTIVOS", Hombres!$A$1:$DW$117, Mujeres!$A$1:$DW$117, Pensionados!$A$2:$G$166,'Empleados activos'!$A$2:$I$225)</f>
        <v>3.8752010301667812E-2</v>
      </c>
      <c r="C42" s="46" cm="1">
        <f t="array" ref="C42">MuertesEnAnio3("Femenino", A42, "ACTIVOS", Hombres!$A$1:$DW$117, Mujeres!$A$1:$DW$117, Pensionados!$A$2:$G$166,'Empleados activos'!$A$2:$I$225)</f>
        <v>0</v>
      </c>
      <c r="D42" s="45">
        <f t="shared" si="1"/>
        <v>3.8752010301667812E-2</v>
      </c>
      <c r="E42" s="50"/>
    </row>
    <row r="43" spans="1:5" x14ac:dyDescent="0.35">
      <c r="A43" s="32">
        <f t="shared" si="0"/>
        <v>2066</v>
      </c>
      <c r="B43" s="45" cm="1">
        <f t="array" ref="B43">MuertesEnAnio3("Masculino", A43, "ACTIVOS", Hombres!$A$1:$DW$117, Mujeres!$A$1:$DW$117, Pensionados!$A$2:$G$166,'Empleados activos'!$A$2:$I$225)</f>
        <v>2.7928436871020548E-2</v>
      </c>
      <c r="C43" s="46" cm="1">
        <f t="array" ref="C43">MuertesEnAnio3("Femenino", A43, "ACTIVOS", Hombres!$A$1:$DW$117, Mujeres!$A$1:$DW$117, Pensionados!$A$2:$G$166,'Empleados activos'!$A$2:$I$225)</f>
        <v>0</v>
      </c>
      <c r="D43" s="45">
        <f t="shared" si="1"/>
        <v>2.7928436871020548E-2</v>
      </c>
      <c r="E43" s="50"/>
    </row>
    <row r="44" spans="1:5" x14ac:dyDescent="0.35">
      <c r="A44" s="32">
        <f t="shared" si="0"/>
        <v>2067</v>
      </c>
      <c r="B44" s="45" cm="1">
        <f t="array" ref="B44">MuertesEnAnio3("Masculino", A44, "ACTIVOS", Hombres!$A$1:$DW$117, Mujeres!$A$1:$DW$117, Pensionados!$A$2:$G$166,'Empleados activos'!$A$2:$I$225)</f>
        <v>2.3112121108897588E-2</v>
      </c>
      <c r="C44" s="46" cm="1">
        <f t="array" ref="C44">MuertesEnAnio3("Femenino", A44, "ACTIVOS", Hombres!$A$1:$DW$117, Mujeres!$A$1:$DW$117, Pensionados!$A$2:$G$166,'Empleados activos'!$A$2:$I$225)</f>
        <v>0</v>
      </c>
      <c r="D44" s="45">
        <f t="shared" si="1"/>
        <v>2.3112121108897588E-2</v>
      </c>
      <c r="E44" s="50"/>
    </row>
    <row r="45" spans="1:5" x14ac:dyDescent="0.35">
      <c r="A45" s="32">
        <f t="shared" si="0"/>
        <v>2068</v>
      </c>
      <c r="B45" s="45" cm="1">
        <f t="array" ref="B45">MuertesEnAnio3("Masculino", A45, "ACTIVOS", Hombres!$A$1:$DW$117, Mujeres!$A$1:$DW$117, Pensionados!$A$2:$G$166,'Empleados activos'!$A$2:$I$225)</f>
        <v>1.812116063916909E-2</v>
      </c>
      <c r="C45" s="46" cm="1">
        <f t="array" ref="C45">MuertesEnAnio3("Femenino", A45, "ACTIVOS", Hombres!$A$1:$DW$117, Mujeres!$A$1:$DW$117, Pensionados!$A$2:$G$166,'Empleados activos'!$A$2:$I$225)</f>
        <v>0</v>
      </c>
      <c r="D45" s="45">
        <f>B45+C45</f>
        <v>1.812116063916909E-2</v>
      </c>
      <c r="E45" s="50"/>
    </row>
    <row r="46" spans="1:5" x14ac:dyDescent="0.35">
      <c r="A46" s="32">
        <f t="shared" si="0"/>
        <v>2069</v>
      </c>
      <c r="B46" s="45" cm="1">
        <f t="array" ref="B46">MuertesEnAnio3("Masculino", A46, "ACTIVOS", Hombres!$A$1:$DW$117, Mujeres!$A$1:$DW$117, Pensionados!$A$2:$G$166,'Empleados activos'!$A$2:$I$225)</f>
        <v>0</v>
      </c>
      <c r="C46" s="46" cm="1">
        <f t="array" ref="C46">MuertesEnAnio3("Femenino", A46, "ACTIVOS", Hombres!$A$1:$DW$117, Mujeres!$A$1:$DW$117, Pensionados!$A$2:$G$166,'Empleados activos'!$A$2:$I$225)</f>
        <v>0</v>
      </c>
      <c r="D46" s="45">
        <f t="shared" ref="D46" si="2">B46+C46</f>
        <v>0</v>
      </c>
      <c r="E46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topLeftCell="A30" workbookViewId="0">
      <selection activeCell="C46" sqref="C46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30" t="s">
        <v>18</v>
      </c>
      <c r="B1" s="30" t="s">
        <v>5</v>
      </c>
      <c r="C1" s="31" t="s">
        <v>16</v>
      </c>
      <c r="D1" s="30" t="s">
        <v>17</v>
      </c>
    </row>
    <row r="2" spans="1:4" x14ac:dyDescent="0.35">
      <c r="A2" s="41">
        <v>2025</v>
      </c>
      <c r="B2" s="42" cm="1">
        <f t="array" ref="B2">ProbActivoEnAnio("Masculino", A2, Hombres!$A$1:$DW$116, Mujeres!$A$1:$DW$116, 'Empleados activos'!$A$2:$E$225)</f>
        <v>109</v>
      </c>
      <c r="C2" s="41" cm="1">
        <f t="array" ref="C2">ProbActivoEnAnio("Femenino", A2, Hombres!$A$1:$DW$116, Mujeres!$A$1:$DW$116, 'Empleados activos'!$A$2:$E$225)</f>
        <v>115</v>
      </c>
      <c r="D2" s="43">
        <f>B2+C2</f>
        <v>224</v>
      </c>
    </row>
    <row r="3" spans="1:4" x14ac:dyDescent="0.35">
      <c r="A3" s="41">
        <f>A2+1</f>
        <v>2026</v>
      </c>
      <c r="B3" s="42" cm="1">
        <f t="array" ref="B3">ProbActivoEnAnio("Masculino", A3, Hombres!$A$1:$DW$116, Mujeres!$A$1:$DW$116, 'Empleados activos'!$A$2:$E$225)</f>
        <v>108.80676200000002</v>
      </c>
      <c r="C3" s="41" cm="1">
        <f t="array" ref="C3">ProbActivoEnAnio("Femenino", A3, Hombres!$A$1:$DW$116, Mujeres!$A$1:$DW$116, 'Empleados activos'!$A$2:$E$225)</f>
        <v>114.9104658000001</v>
      </c>
      <c r="D3" s="43">
        <f t="shared" ref="D3:D46" si="0">B3+C3</f>
        <v>223.7172278000001</v>
      </c>
    </row>
    <row r="4" spans="1:4" x14ac:dyDescent="0.35">
      <c r="A4" s="41">
        <f t="shared" ref="A4:A46" si="1">A3+1</f>
        <v>2027</v>
      </c>
      <c r="B4" s="42" cm="1">
        <f t="array" ref="B4">ProbActivoEnAnio("Masculino", A4, Hombres!$A$1:$DW$116, Mujeres!$A$1:$DW$116, 'Empleados activos'!$A$2:$E$225)</f>
        <v>108.60686297583139</v>
      </c>
      <c r="C4" s="41" cm="1">
        <f t="array" ref="C4">ProbActivoEnAnio("Femenino", A4, Hombres!$A$1:$DW$116, Mujeres!$A$1:$DW$116, 'Empleados activos'!$A$2:$E$225)</f>
        <v>114.81611835293153</v>
      </c>
      <c r="D4" s="43">
        <f t="shared" si="0"/>
        <v>223.42298132876292</v>
      </c>
    </row>
    <row r="5" spans="1:4" x14ac:dyDescent="0.35">
      <c r="A5" s="41">
        <f t="shared" si="1"/>
        <v>2028</v>
      </c>
      <c r="B5" s="42" cm="1">
        <f t="array" ref="B5">ProbActivoEnAnio("Masculino", A5, Hombres!$A$1:$DW$116, Mujeres!$A$1:$DW$116, 'Empleados activos'!$A$2:$E$225)</f>
        <v>108.39914400360274</v>
      </c>
      <c r="C5" s="41" cm="1">
        <f t="array" ref="C5">ProbActivoEnAnio("Femenino", A5, Hombres!$A$1:$DW$116, Mujeres!$A$1:$DW$116, 'Empleados activos'!$A$2:$E$225)</f>
        <v>114.7163964009838</v>
      </c>
      <c r="D5" s="43">
        <f t="shared" si="0"/>
        <v>223.11554040458654</v>
      </c>
    </row>
    <row r="6" spans="1:4" x14ac:dyDescent="0.35">
      <c r="A6" s="41">
        <f t="shared" si="1"/>
        <v>2029</v>
      </c>
      <c r="B6" s="42" cm="1">
        <f t="array" ref="B6">ProbActivoEnAnio("Masculino", A6, Hombres!$A$1:$DW$116, Mujeres!$A$1:$DW$116, 'Empleados activos'!$A$2:$E$225)</f>
        <v>107.22329641930922</v>
      </c>
      <c r="C6" s="41" cm="1">
        <f t="array" ref="C6">ProbActivoEnAnio("Femenino", A6, Hombres!$A$1:$DW$116, Mujeres!$A$1:$DW$116, 'Empleados activos'!$A$2:$E$225)</f>
        <v>114.61061063726777</v>
      </c>
      <c r="D6" s="43">
        <f t="shared" si="0"/>
        <v>221.833907056577</v>
      </c>
    </row>
    <row r="7" spans="1:4" x14ac:dyDescent="0.35">
      <c r="A7" s="41">
        <f t="shared" si="1"/>
        <v>2030</v>
      </c>
      <c r="B7" s="42" cm="1">
        <f t="array" ref="B7">ProbActivoEnAnio("Masculino", A7, Hombres!$A$1:$DW$116, Mujeres!$A$1:$DW$116, 'Empleados activos'!$A$2:$E$225)</f>
        <v>107.00822382728188</v>
      </c>
      <c r="C7" s="41" cm="1">
        <f t="array" ref="C7">ProbActivoEnAnio("Femenino", A7, Hombres!$A$1:$DW$116, Mujeres!$A$1:$DW$116, 'Empleados activos'!$A$2:$E$225)</f>
        <v>114.49818360551822</v>
      </c>
      <c r="D7" s="43">
        <f t="shared" si="0"/>
        <v>221.5064074328001</v>
      </c>
    </row>
    <row r="8" spans="1:4" x14ac:dyDescent="0.35">
      <c r="A8" s="41">
        <f t="shared" si="1"/>
        <v>2031</v>
      </c>
      <c r="B8" s="42" cm="1">
        <f t="array" ref="B8">ProbActivoEnAnio("Masculino", A8, Hombres!$A$1:$DW$116, Mujeres!$A$1:$DW$116, 'Empleados activos'!$A$2:$E$225)</f>
        <v>106.78272933799251</v>
      </c>
      <c r="C8" s="41" cm="1">
        <f t="array" ref="C8">ProbActivoEnAnio("Femenino", A8, Hombres!$A$1:$DW$116, Mujeres!$A$1:$DW$116, 'Empleados activos'!$A$2:$E$225)</f>
        <v>113.40394906494532</v>
      </c>
      <c r="D8" s="43">
        <f t="shared" si="0"/>
        <v>220.18667840293784</v>
      </c>
    </row>
    <row r="9" spans="1:4" x14ac:dyDescent="0.35">
      <c r="A9" s="41">
        <f t="shared" si="1"/>
        <v>2032</v>
      </c>
      <c r="B9" s="42" cm="1">
        <f t="array" ref="B9">ProbActivoEnAnio("Masculino", A9, Hombres!$A$1:$DW$116, Mujeres!$A$1:$DW$116, 'Empleados activos'!$A$2:$E$225)</f>
        <v>106.545616170095</v>
      </c>
      <c r="C9" s="41" cm="1">
        <f t="array" ref="C9">ProbActivoEnAnio("Femenino", A9, Hombres!$A$1:$DW$116, Mujeres!$A$1:$DW$116, 'Empleados activos'!$A$2:$E$225)</f>
        <v>112.31013206055941</v>
      </c>
      <c r="D9" s="43">
        <f t="shared" si="0"/>
        <v>218.8557482306544</v>
      </c>
    </row>
    <row r="10" spans="1:4" x14ac:dyDescent="0.35">
      <c r="A10" s="41">
        <f t="shared" si="1"/>
        <v>2033</v>
      </c>
      <c r="B10" s="42" cm="1">
        <f t="array" ref="B10">ProbActivoEnAnio("Masculino", A10, Hombres!$A$1:$DW$116, Mujeres!$A$1:$DW$116, 'Empleados activos'!$A$2:$E$225)</f>
        <v>106.29561830632736</v>
      </c>
      <c r="C10" s="41" cm="1">
        <f t="array" ref="C10">ProbActivoEnAnio("Femenino", A10, Hombres!$A$1:$DW$116, Mujeres!$A$1:$DW$116, 'Empleados activos'!$A$2:$E$225)</f>
        <v>111.21596724887698</v>
      </c>
      <c r="D10" s="43">
        <f t="shared" si="0"/>
        <v>217.51158555520433</v>
      </c>
    </row>
    <row r="11" spans="1:4" x14ac:dyDescent="0.35">
      <c r="A11" s="41">
        <f t="shared" si="1"/>
        <v>2034</v>
      </c>
      <c r="B11" s="42" cm="1">
        <f t="array" ref="B11">ProbActivoEnAnio("Masculino", A11, Hombres!$A$1:$DW$116, Mujeres!$A$1:$DW$116, 'Empleados activos'!$A$2:$E$225)</f>
        <v>106.03163821395256</v>
      </c>
      <c r="C11" s="41" cm="1">
        <f t="array" ref="C11">ProbActivoEnAnio("Femenino", A11, Hombres!$A$1:$DW$116, Mujeres!$A$1:$DW$116, 'Empleados activos'!$A$2:$E$225)</f>
        <v>111.08834093213085</v>
      </c>
      <c r="D11" s="43">
        <f t="shared" si="0"/>
        <v>217.11997914608341</v>
      </c>
    </row>
    <row r="12" spans="1:4" x14ac:dyDescent="0.35">
      <c r="A12" s="41">
        <f t="shared" si="1"/>
        <v>2035</v>
      </c>
      <c r="B12" s="42" cm="1">
        <f t="array" ref="B12">ProbActivoEnAnio("Masculino", A12, Hombres!$A$1:$DW$116, Mujeres!$A$1:$DW$116, 'Empleados activos'!$A$2:$E$225)</f>
        <v>105.75302665662302</v>
      </c>
      <c r="C12" s="41" cm="1">
        <f t="array" ref="C12">ProbActivoEnAnio("Femenino", A12, Hombres!$A$1:$DW$116, Mujeres!$A$1:$DW$116, 'Empleados activos'!$A$2:$E$225)</f>
        <v>109.9862625614323</v>
      </c>
      <c r="D12" s="43">
        <f t="shared" si="0"/>
        <v>215.73928921805532</v>
      </c>
    </row>
    <row r="13" spans="1:4" x14ac:dyDescent="0.35">
      <c r="A13" s="41">
        <f t="shared" si="1"/>
        <v>2036</v>
      </c>
      <c r="B13" s="42" cm="1">
        <f t="array" ref="B13">ProbActivoEnAnio("Masculino", A13, Hombres!$A$1:$DW$116, Mujeres!$A$1:$DW$116, 'Empleados activos'!$A$2:$E$225)</f>
        <v>105.45898184963744</v>
      </c>
      <c r="C13" s="41" cm="1">
        <f t="array" ref="C13">ProbActivoEnAnio("Femenino", A13, Hombres!$A$1:$DW$116, Mujeres!$A$1:$DW$116, 'Empleados activos'!$A$2:$E$225)</f>
        <v>109.8459356563875</v>
      </c>
      <c r="D13" s="43">
        <f t="shared" si="0"/>
        <v>215.30491750602494</v>
      </c>
    </row>
    <row r="14" spans="1:4" x14ac:dyDescent="0.35">
      <c r="A14" s="41">
        <f t="shared" si="1"/>
        <v>2037</v>
      </c>
      <c r="B14" s="42" cm="1">
        <f t="array" ref="B14">ProbActivoEnAnio("Masculino", A14, Hombres!$A$1:$DW$116, Mujeres!$A$1:$DW$116, 'Empleados activos'!$A$2:$E$225)</f>
        <v>104.23118035419969</v>
      </c>
      <c r="C14" s="41" cm="1">
        <f t="array" ref="C14">ProbActivoEnAnio("Femenino", A14, Hombres!$A$1:$DW$116, Mujeres!$A$1:$DW$116, 'Empleados activos'!$A$2:$E$225)</f>
        <v>109.69597688141791</v>
      </c>
      <c r="D14" s="43">
        <f t="shared" si="0"/>
        <v>213.92715723561759</v>
      </c>
    </row>
    <row r="15" spans="1:4" x14ac:dyDescent="0.35">
      <c r="A15" s="41">
        <f t="shared" si="1"/>
        <v>2038</v>
      </c>
      <c r="B15" s="42" cm="1">
        <f t="array" ref="B15">ProbActivoEnAnio("Masculino", A15, Hombres!$A$1:$DW$116, Mujeres!$A$1:$DW$116, 'Empleados activos'!$A$2:$E$225)</f>
        <v>103.91167765425243</v>
      </c>
      <c r="C15" s="41" cm="1">
        <f t="array" ref="C15">ProbActivoEnAnio("Femenino", A15, Hombres!$A$1:$DW$116, Mujeres!$A$1:$DW$116, 'Empleados activos'!$A$2:$E$225)</f>
        <v>108.5734510696317</v>
      </c>
      <c r="D15" s="43">
        <f t="shared" si="0"/>
        <v>212.48512872388415</v>
      </c>
    </row>
    <row r="16" spans="1:4" x14ac:dyDescent="0.35">
      <c r="A16" s="41">
        <f t="shared" si="1"/>
        <v>2039</v>
      </c>
      <c r="B16" s="42" cm="1">
        <f t="array" ref="B16">ProbActivoEnAnio("Masculino", A16, Hombres!$A$1:$DW$116, Mujeres!$A$1:$DW$116, 'Empleados activos'!$A$2:$E$225)</f>
        <v>102.6600839964612</v>
      </c>
      <c r="C16" s="41" cm="1">
        <f t="array" ref="C16">ProbActivoEnAnio("Femenino", A16, Hombres!$A$1:$DW$116, Mujeres!$A$1:$DW$116, 'Empleados activos'!$A$2:$E$225)</f>
        <v>106.48389280582862</v>
      </c>
      <c r="D16" s="43">
        <f t="shared" si="0"/>
        <v>209.14397680228981</v>
      </c>
    </row>
    <row r="17" spans="1:4" x14ac:dyDescent="0.35">
      <c r="A17" s="41">
        <f t="shared" si="1"/>
        <v>2040</v>
      </c>
      <c r="B17" s="42" cm="1">
        <f t="array" ref="B17">ProbActivoEnAnio("Masculino", A17, Hombres!$A$1:$DW$116, Mujeres!$A$1:$DW$116, 'Empleados activos'!$A$2:$E$225)</f>
        <v>99.58027935964725</v>
      </c>
      <c r="C17" s="41" cm="1">
        <f t="array" ref="C17">ProbActivoEnAnio("Femenino", A17, Hombres!$A$1:$DW$116, Mujeres!$A$1:$DW$116, 'Empleados activos'!$A$2:$E$225)</f>
        <v>103.43277485209939</v>
      </c>
      <c r="D17" s="43">
        <f t="shared" si="0"/>
        <v>203.01305421174663</v>
      </c>
    </row>
    <row r="18" spans="1:4" x14ac:dyDescent="0.35">
      <c r="A18" s="41">
        <f t="shared" si="1"/>
        <v>2041</v>
      </c>
      <c r="B18" s="42" cm="1">
        <f t="array" ref="B18">ProbActivoEnAnio("Masculino", A18, Hombres!$A$1:$DW$116, Mujeres!$A$1:$DW$116, 'Empleados activos'!$A$2:$E$225)</f>
        <v>95.606394137154211</v>
      </c>
      <c r="C18" s="41" cm="1">
        <f t="array" ref="C18">ProbActivoEnAnio("Femenino", A18, Hombres!$A$1:$DW$116, Mujeres!$A$1:$DW$116, 'Empleados activos'!$A$2:$E$225)</f>
        <v>100.38486604968071</v>
      </c>
      <c r="D18" s="43">
        <f t="shared" si="0"/>
        <v>195.99126018683492</v>
      </c>
    </row>
    <row r="19" spans="1:4" x14ac:dyDescent="0.35">
      <c r="A19" s="41">
        <f t="shared" si="1"/>
        <v>2042</v>
      </c>
      <c r="B19" s="42" cm="1">
        <f t="array" ref="B19">ProbActivoEnAnio("Masculino", A19, Hombres!$A$1:$DW$116, Mujeres!$A$1:$DW$116, 'Empleados activos'!$A$2:$E$225)</f>
        <v>94.372054448624823</v>
      </c>
      <c r="C19" s="41" cm="1">
        <f t="array" ref="C19">ProbActivoEnAnio("Femenino", A19, Hombres!$A$1:$DW$116, Mujeres!$A$1:$DW$116, 'Empleados activos'!$A$2:$E$225)</f>
        <v>98.298443493600573</v>
      </c>
      <c r="D19" s="43">
        <f t="shared" si="0"/>
        <v>192.67049794222538</v>
      </c>
    </row>
    <row r="20" spans="1:4" x14ac:dyDescent="0.35">
      <c r="A20" s="41">
        <f t="shared" si="1"/>
        <v>2043</v>
      </c>
      <c r="B20" s="42" cm="1">
        <f t="array" ref="B20">ProbActivoEnAnio("Masculino", A20, Hombres!$A$1:$DW$116, Mujeres!$A$1:$DW$116, 'Empleados activos'!$A$2:$E$225)</f>
        <v>91.320958619258121</v>
      </c>
      <c r="C20" s="41" cm="1">
        <f t="array" ref="C20">ProbActivoEnAnio("Femenino", A20, Hombres!$A$1:$DW$116, Mujeres!$A$1:$DW$116, 'Empleados activos'!$A$2:$E$225)</f>
        <v>94.29204469096841</v>
      </c>
      <c r="D20" s="43">
        <f t="shared" si="0"/>
        <v>185.61300331022653</v>
      </c>
    </row>
    <row r="21" spans="1:4" x14ac:dyDescent="0.35">
      <c r="A21" s="41">
        <f t="shared" si="1"/>
        <v>2044</v>
      </c>
      <c r="B21" s="42" cm="1">
        <f t="array" ref="B21">ProbActivoEnAnio("Masculino", A21, Hombres!$A$1:$DW$116, Mujeres!$A$1:$DW$116, 'Empleados activos'!$A$2:$E$225)</f>
        <v>90.987723563201854</v>
      </c>
      <c r="C21" s="41" cm="1">
        <f t="array" ref="C21">ProbActivoEnAnio("Femenino", A21, Hombres!$A$1:$DW$116, Mujeres!$A$1:$DW$116, 'Empleados activos'!$A$2:$E$225)</f>
        <v>89.333033844367932</v>
      </c>
      <c r="D21" s="43">
        <f t="shared" si="0"/>
        <v>180.32075740756977</v>
      </c>
    </row>
    <row r="22" spans="1:4" x14ac:dyDescent="0.35">
      <c r="A22" s="41">
        <f t="shared" si="1"/>
        <v>2045</v>
      </c>
      <c r="B22" s="42" cm="1">
        <f t="array" ref="B22">ProbActivoEnAnio("Masculino", A22, Hombres!$A$1:$DW$116, Mujeres!$A$1:$DW$116, 'Empleados activos'!$A$2:$E$225)</f>
        <v>87.929896950444288</v>
      </c>
      <c r="C22" s="41" cm="1">
        <f t="array" ref="C22">ProbActivoEnAnio("Femenino", A22, Hombres!$A$1:$DW$116, Mujeres!$A$1:$DW$116, 'Empleados activos'!$A$2:$E$225)</f>
        <v>87.25763304622582</v>
      </c>
      <c r="D22" s="43">
        <f t="shared" si="0"/>
        <v>175.18752999667009</v>
      </c>
    </row>
    <row r="23" spans="1:4" x14ac:dyDescent="0.35">
      <c r="A23" s="41">
        <f t="shared" si="1"/>
        <v>2046</v>
      </c>
      <c r="B23" s="42" cm="1">
        <f t="array" ref="B23">ProbActivoEnAnio("Masculino", A23, Hombres!$A$1:$DW$116, Mujeres!$A$1:$DW$116, 'Empleados activos'!$A$2:$E$225)</f>
        <v>86.679863923671647</v>
      </c>
      <c r="C23" s="41" cm="1">
        <f t="array" ref="C23">ProbActivoEnAnio("Femenino", A23, Hombres!$A$1:$DW$116, Mujeres!$A$1:$DW$116, 'Empleados activos'!$A$2:$E$225)</f>
        <v>83.26336721159781</v>
      </c>
      <c r="D23" s="43">
        <f t="shared" si="0"/>
        <v>169.94323113526946</v>
      </c>
    </row>
    <row r="24" spans="1:4" x14ac:dyDescent="0.35">
      <c r="A24" s="41">
        <f t="shared" si="1"/>
        <v>2047</v>
      </c>
      <c r="B24" s="42" cm="1">
        <f t="array" ref="B24">ProbActivoEnAnio("Masculino", A24, Hombres!$A$1:$DW$116, Mujeres!$A$1:$DW$116, 'Empleados activos'!$A$2:$E$225)</f>
        <v>80.020341119649899</v>
      </c>
      <c r="C24" s="41" cm="1">
        <f t="array" ref="C24">ProbActivoEnAnio("Femenino", A24, Hombres!$A$1:$DW$116, Mujeres!$A$1:$DW$116, 'Empleados activos'!$A$2:$E$225)</f>
        <v>80.231141793042724</v>
      </c>
      <c r="D24" s="43">
        <f t="shared" si="0"/>
        <v>160.25148291269261</v>
      </c>
    </row>
    <row r="25" spans="1:4" x14ac:dyDescent="0.35">
      <c r="A25" s="41">
        <f t="shared" si="1"/>
        <v>2048</v>
      </c>
      <c r="B25" s="42" cm="1">
        <f t="array" ref="B25">ProbActivoEnAnio("Masculino", A25, Hombres!$A$1:$DW$116, Mujeres!$A$1:$DW$116, 'Empleados activos'!$A$2:$E$225)</f>
        <v>78.793751442403575</v>
      </c>
      <c r="C25" s="41" cm="1">
        <f t="array" ref="C25">ProbActivoEnAnio("Femenino", A25, Hombres!$A$1:$DW$116, Mujeres!$A$1:$DW$116, 'Empleados activos'!$A$2:$E$225)</f>
        <v>78.15633024329405</v>
      </c>
      <c r="D25" s="43">
        <f t="shared" si="0"/>
        <v>156.95008168569763</v>
      </c>
    </row>
    <row r="26" spans="1:4" x14ac:dyDescent="0.35">
      <c r="A26" s="41">
        <f t="shared" si="1"/>
        <v>2049</v>
      </c>
      <c r="B26" s="43" cm="1">
        <f t="array" ref="B26">ProbActivoEnAnio("Masculino", A26, Hombres!$A$1:$DW$116, Mujeres!$A$1:$DW$116, 'Empleados activos'!$A$2:$E$225)</f>
        <v>77.551491510630214</v>
      </c>
      <c r="C26" s="41" cm="1">
        <f t="array" ref="C26">ProbActivoEnAnio("Femenino", A26, Hombres!$A$1:$DW$116, Mujeres!$A$1:$DW$116, 'Empleados activos'!$A$2:$E$225)</f>
        <v>71.287402573112914</v>
      </c>
      <c r="D26" s="43">
        <f t="shared" si="0"/>
        <v>148.83889408374313</v>
      </c>
    </row>
    <row r="27" spans="1:4" x14ac:dyDescent="0.35">
      <c r="A27" s="41">
        <f t="shared" si="1"/>
        <v>2050</v>
      </c>
      <c r="B27" s="43" cm="1">
        <f t="array" ref="B27">ProbActivoEnAnio("Masculino", A27, Hombres!$A$1:$DW$116, Mujeres!$A$1:$DW$116, 'Empleados activos'!$A$2:$E$225)</f>
        <v>76.291989079943932</v>
      </c>
      <c r="C27" s="41" cm="1">
        <f t="array" ref="C27">ProbActivoEnAnio("Femenino", A27, Hombres!$A$1:$DW$116, Mujeres!$A$1:$DW$116, 'Empleados activos'!$A$2:$E$225)</f>
        <v>63.474225808476945</v>
      </c>
      <c r="D27" s="43">
        <f t="shared" si="0"/>
        <v>139.76621488842088</v>
      </c>
    </row>
    <row r="28" spans="1:4" x14ac:dyDescent="0.35">
      <c r="A28" s="41">
        <f t="shared" si="1"/>
        <v>2051</v>
      </c>
      <c r="B28" s="43" cm="1">
        <f t="array" ref="B28">ProbActivoEnAnio("Masculino", A28, Hombres!$A$1:$DW$116, Mujeres!$A$1:$DW$116, 'Empleados activos'!$A$2:$E$225)</f>
        <v>74.117945345246355</v>
      </c>
      <c r="C28" s="41" cm="1">
        <f t="array" ref="C28">ProbActivoEnAnio("Femenino", A28, Hombres!$A$1:$DW$116, Mujeres!$A$1:$DW$116, 'Empleados activos'!$A$2:$E$225)</f>
        <v>61.427738545096332</v>
      </c>
      <c r="D28" s="43">
        <f t="shared" si="0"/>
        <v>135.54568389034267</v>
      </c>
    </row>
    <row r="29" spans="1:4" x14ac:dyDescent="0.35">
      <c r="A29" s="41">
        <f t="shared" si="1"/>
        <v>2052</v>
      </c>
      <c r="B29" s="43" cm="1">
        <f t="array" ref="B29">ProbActivoEnAnio("Masculino", A29, Hombres!$A$1:$DW$116, Mujeres!$A$1:$DW$116, 'Empleados activos'!$A$2:$E$225)</f>
        <v>71.934727589683746</v>
      </c>
      <c r="C29" s="41" cm="1">
        <f t="array" ref="C29">ProbActivoEnAnio("Femenino", A29, Hombres!$A$1:$DW$116, Mujeres!$A$1:$DW$116, 'Empleados activos'!$A$2:$E$225)</f>
        <v>56.503439385419561</v>
      </c>
      <c r="D29" s="43">
        <f t="shared" si="0"/>
        <v>128.43816697510331</v>
      </c>
    </row>
    <row r="30" spans="1:4" x14ac:dyDescent="0.35">
      <c r="A30" s="41">
        <f t="shared" si="1"/>
        <v>2053</v>
      </c>
      <c r="B30" s="43" cm="1">
        <f t="array" ref="B30">ProbActivoEnAnio("Masculino", A30, Hombres!$A$1:$DW$116, Mujeres!$A$1:$DW$116, 'Empleados activos'!$A$2:$E$225)</f>
        <v>67.052990137172046</v>
      </c>
      <c r="C30" s="41" cm="1">
        <f t="array" ref="C30">ProbActivoEnAnio("Femenino", A30, Hombres!$A$1:$DW$116, Mujeres!$A$1:$DW$116, 'Empleados activos'!$A$2:$E$225)</f>
        <v>52.544368521930046</v>
      </c>
      <c r="D30" s="43">
        <f t="shared" si="0"/>
        <v>119.5973586591021</v>
      </c>
    </row>
    <row r="31" spans="1:4" x14ac:dyDescent="0.35">
      <c r="A31" s="41">
        <f t="shared" si="1"/>
        <v>2054</v>
      </c>
      <c r="B31" s="43" cm="1">
        <f t="array" ref="B31">ProbActivoEnAnio("Masculino", A31, Hombres!$A$1:$DW$116, Mujeres!$A$1:$DW$116, 'Empleados activos'!$A$2:$E$225)</f>
        <v>62.186444851691505</v>
      </c>
      <c r="C31" s="41" cm="1">
        <f t="array" ref="C31">ProbActivoEnAnio("Femenino", A31, Hombres!$A$1:$DW$116, Mujeres!$A$1:$DW$116, 'Empleados activos'!$A$2:$E$225)</f>
        <v>47.629522679485532</v>
      </c>
      <c r="D31" s="43">
        <f t="shared" si="0"/>
        <v>109.81596753117704</v>
      </c>
    </row>
    <row r="32" spans="1:4" x14ac:dyDescent="0.35">
      <c r="A32" s="41">
        <f t="shared" si="1"/>
        <v>2055</v>
      </c>
      <c r="B32" s="43" cm="1">
        <f t="array" ref="B32">ProbActivoEnAnio("Masculino", A32, Hombres!$A$1:$DW$116, Mujeres!$A$1:$DW$116, 'Empleados activos'!$A$2:$E$225)</f>
        <v>54.647500963781631</v>
      </c>
      <c r="C32" s="41" cm="1">
        <f t="array" ref="C32">ProbActivoEnAnio("Femenino", A32, Hombres!$A$1:$DW$116, Mujeres!$A$1:$DW$116, 'Empleados activos'!$A$2:$E$225)</f>
        <v>41.761679358339912</v>
      </c>
      <c r="D32" s="43">
        <f t="shared" si="0"/>
        <v>96.409180322121543</v>
      </c>
    </row>
    <row r="33" spans="1:4" x14ac:dyDescent="0.35">
      <c r="A33" s="41">
        <f t="shared" si="1"/>
        <v>2056</v>
      </c>
      <c r="B33" s="43" cm="1">
        <f t="array" ref="B33">ProbActivoEnAnio("Masculino", A33, Hombres!$A$1:$DW$116, Mujeres!$A$1:$DW$116, 'Empleados activos'!$A$2:$E$225)</f>
        <v>46.25330486472177</v>
      </c>
      <c r="C33" s="41" cm="1">
        <f t="array" ref="C33">ProbActivoEnAnio("Femenino", A33, Hombres!$A$1:$DW$116, Mujeres!$A$1:$DW$116, 'Empleados activos'!$A$2:$E$225)</f>
        <v>31.105883190887184</v>
      </c>
      <c r="D33" s="43">
        <f t="shared" si="0"/>
        <v>77.359188055608954</v>
      </c>
    </row>
    <row r="34" spans="1:4" x14ac:dyDescent="0.35">
      <c r="A34" s="41">
        <f t="shared" si="1"/>
        <v>2057</v>
      </c>
      <c r="B34" s="43" cm="1">
        <f t="array" ref="B34">ProbActivoEnAnio("Masculino", A34, Hombres!$A$1:$DW$116, Mujeres!$A$1:$DW$116, 'Empleados activos'!$A$2:$E$225)</f>
        <v>34.325572681991645</v>
      </c>
      <c r="C34" s="41" cm="1">
        <f t="array" ref="C34">ProbActivoEnAnio("Femenino", A34, Hombres!$A$1:$DW$116, Mujeres!$A$1:$DW$116, 'Empleados activos'!$A$2:$E$225)</f>
        <v>28.15453856375985</v>
      </c>
      <c r="D34" s="43">
        <f t="shared" si="0"/>
        <v>62.480111245751495</v>
      </c>
    </row>
    <row r="35" spans="1:4" x14ac:dyDescent="0.35">
      <c r="A35" s="41">
        <f t="shared" si="1"/>
        <v>2058</v>
      </c>
      <c r="B35" s="43" cm="1">
        <f t="array" ref="B35">ProbActivoEnAnio("Masculino", A35, Hombres!$A$1:$DW$116, Mujeres!$A$1:$DW$116, 'Empleados activos'!$A$2:$E$225)</f>
        <v>29.649390509893983</v>
      </c>
      <c r="C35" s="41" cm="1">
        <f t="array" ref="C35">ProbActivoEnAnio("Femenino", A35, Hombres!$A$1:$DW$116, Mujeres!$A$1:$DW$116, 'Empleados activos'!$A$2:$E$225)</f>
        <v>23.285526070175969</v>
      </c>
      <c r="D35" s="43">
        <f t="shared" si="0"/>
        <v>52.934916580069952</v>
      </c>
    </row>
    <row r="36" spans="1:4" x14ac:dyDescent="0.35">
      <c r="A36" s="41">
        <f t="shared" si="1"/>
        <v>2059</v>
      </c>
      <c r="B36" s="43" cm="1">
        <f t="array" ref="B36">ProbActivoEnAnio("Masculino", A36, Hombres!$A$1:$DW$116, Mujeres!$A$1:$DW$116, 'Empleados activos'!$A$2:$E$225)</f>
        <v>25.894388204695456</v>
      </c>
      <c r="C36" s="41" cm="1">
        <f t="array" ref="C36">ProbActivoEnAnio("Femenino", A36, Hombres!$A$1:$DW$116, Mujeres!$A$1:$DW$116, 'Empleados activos'!$A$2:$E$225)</f>
        <v>18.425261650059824</v>
      </c>
      <c r="D36" s="43">
        <f t="shared" si="0"/>
        <v>44.319649854755284</v>
      </c>
    </row>
    <row r="37" spans="1:4" x14ac:dyDescent="0.35">
      <c r="A37" s="41">
        <f t="shared" si="1"/>
        <v>2060</v>
      </c>
      <c r="B37" s="43" cm="1">
        <f t="array" ref="B37">ProbActivoEnAnio("Masculino", A37, Hombres!$A$1:$DW$116, Mujeres!$A$1:$DW$116, 'Empleados activos'!$A$2:$E$225)</f>
        <v>22.158229240405348</v>
      </c>
      <c r="C37" s="41" cm="1">
        <f t="array" ref="C37">ProbActivoEnAnio("Femenino", A37, Hombres!$A$1:$DW$116, Mujeres!$A$1:$DW$116, 'Empleados activos'!$A$2:$E$225)</f>
        <v>12.613249344215465</v>
      </c>
      <c r="D37" s="43">
        <f t="shared" si="0"/>
        <v>34.771478584620809</v>
      </c>
    </row>
    <row r="38" spans="1:4" x14ac:dyDescent="0.35">
      <c r="A38" s="41">
        <f t="shared" si="1"/>
        <v>2061</v>
      </c>
      <c r="B38" s="43" cm="1">
        <f t="array" ref="B38">ProbActivoEnAnio("Masculino", A38, Hombres!$A$1:$DW$116, Mujeres!$A$1:$DW$116, 'Empleados activos'!$A$2:$E$225)</f>
        <v>19.338107189264228</v>
      </c>
      <c r="C38" s="41" cm="1">
        <f t="array" ref="C38">ProbActivoEnAnio("Femenino", A38, Hombres!$A$1:$DW$116, Mujeres!$A$1:$DW$116, 'Empleados activos'!$A$2:$E$225)</f>
        <v>11.621659324187668</v>
      </c>
      <c r="D38" s="43">
        <f t="shared" si="0"/>
        <v>30.959766513451896</v>
      </c>
    </row>
    <row r="39" spans="1:4" x14ac:dyDescent="0.35">
      <c r="A39" s="41">
        <f t="shared" si="1"/>
        <v>2062</v>
      </c>
      <c r="B39" s="43" cm="1">
        <f t="array" ref="B39">ProbActivoEnAnio("Masculino", A39, Hombres!$A$1:$DW$116, Mujeres!$A$1:$DW$116, 'Empleados activos'!$A$2:$E$225)</f>
        <v>18.323687973787944</v>
      </c>
      <c r="C39" s="41" cm="1">
        <f t="array" ref="C39">ProbActivoEnAnio("Femenino", A39, Hombres!$A$1:$DW$116, Mujeres!$A$1:$DW$116, 'Empleados activos'!$A$2:$E$225)</f>
        <v>7.7441535835336595</v>
      </c>
      <c r="D39" s="43">
        <f t="shared" si="0"/>
        <v>26.067841557321604</v>
      </c>
    </row>
    <row r="40" spans="1:4" x14ac:dyDescent="0.35">
      <c r="A40" s="41">
        <f t="shared" si="1"/>
        <v>2063</v>
      </c>
      <c r="B40" s="43" cm="1">
        <f t="array" ref="B40">ProbActivoEnAnio("Masculino", A40, Hombres!$A$1:$DW$116, Mujeres!$A$1:$DW$116, 'Empleados activos'!$A$2:$E$225)</f>
        <v>15.516176848998176</v>
      </c>
      <c r="C40" s="41" cm="1">
        <f t="array" ref="C40">ProbActivoEnAnio("Femenino", A40, Hombres!$A$1:$DW$116, Mujeres!$A$1:$DW$116, 'Empleados activos'!$A$2:$E$225)</f>
        <v>5.7992985161597828</v>
      </c>
      <c r="D40" s="43">
        <f t="shared" si="0"/>
        <v>21.315475365157958</v>
      </c>
    </row>
    <row r="41" spans="1:4" x14ac:dyDescent="0.35">
      <c r="A41" s="41">
        <f t="shared" si="1"/>
        <v>2064</v>
      </c>
      <c r="B41" s="43" cm="1">
        <f t="array" ref="B41">ProbActivoEnAnio("Masculino", A41, Hombres!$A$1:$DW$116, Mujeres!$A$1:$DW$116, 'Empleados activos'!$A$2:$E$225)</f>
        <v>8.2409251331367344</v>
      </c>
      <c r="C41" s="41" cm="1">
        <f t="array" ref="C41">ProbActivoEnAnio("Femenino", A41, Hombres!$A$1:$DW$116, Mujeres!$A$1:$DW$116, 'Empleados activos'!$A$2:$E$225)</f>
        <v>1.9319969919693292</v>
      </c>
      <c r="D41" s="43">
        <f t="shared" si="0"/>
        <v>10.172922125106064</v>
      </c>
    </row>
    <row r="42" spans="1:4" x14ac:dyDescent="0.35">
      <c r="A42" s="41">
        <f t="shared" si="1"/>
        <v>2065</v>
      </c>
      <c r="B42" s="43" cm="1">
        <f t="array" ref="B42">ProbActivoEnAnio("Masculino", A42, Hombres!$A$1:$DW$116, Mujeres!$A$1:$DW$116, 'Empleados activos'!$A$2:$E$225)</f>
        <v>6.3951198579511379</v>
      </c>
      <c r="C42" s="41" cm="1">
        <f t="array" ref="C42">ProbActivoEnAnio("Femenino", A42, Hombres!$A$1:$DW$116, Mujeres!$A$1:$DW$116, 'Empleados activos'!$A$2:$E$225)</f>
        <v>0</v>
      </c>
      <c r="D42" s="43">
        <f t="shared" si="0"/>
        <v>6.3951198579511379</v>
      </c>
    </row>
    <row r="43" spans="1:4" x14ac:dyDescent="0.35">
      <c r="A43" s="41">
        <f t="shared" si="1"/>
        <v>2066</v>
      </c>
      <c r="B43" s="43" cm="1">
        <f t="array" ref="B43">ProbActivoEnAnio("Masculino", A43, Hombres!$A$1:$DW$116, Mujeres!$A$1:$DW$116, 'Empleados activos'!$A$2:$E$225)</f>
        <v>4.5600946428754572</v>
      </c>
      <c r="C43" s="41" cm="1">
        <f t="array" ref="C43">ProbActivoEnAnio("Femenino", A43, Hombres!$A$1:$DW$116, Mujeres!$A$1:$DW$116, 'Empleados activos'!$A$2:$E$225)</f>
        <v>0</v>
      </c>
      <c r="D43" s="43">
        <f t="shared" si="0"/>
        <v>4.5600946428754572</v>
      </c>
    </row>
    <row r="44" spans="1:4" x14ac:dyDescent="0.35">
      <c r="A44" s="41">
        <f t="shared" si="1"/>
        <v>2067</v>
      </c>
      <c r="B44" s="43" cm="1">
        <f t="array" ref="B44">ProbActivoEnAnio("Masculino", A44, Hombres!$A$1:$DW$116, Mujeres!$A$1:$DW$116, 'Empleados activos'!$A$2:$E$225)</f>
        <v>3.6332317401711345</v>
      </c>
      <c r="C44" s="41" cm="1">
        <f t="array" ref="C44">ProbActivoEnAnio("Femenino", A44, Hombres!$A$1:$DW$116, Mujeres!$A$1:$DW$116, 'Empleados activos'!$A$2:$E$225)</f>
        <v>0</v>
      </c>
      <c r="D44" s="43">
        <f t="shared" si="0"/>
        <v>3.6332317401711345</v>
      </c>
    </row>
    <row r="45" spans="1:4" x14ac:dyDescent="0.35">
      <c r="A45" s="41">
        <f t="shared" si="1"/>
        <v>2068</v>
      </c>
      <c r="B45" s="43" cm="1">
        <f t="array" ref="B45">ProbActivoEnAnio("Masculino", A45, Hombres!$A$1:$DW$116, Mujeres!$A$1:$DW$116, 'Empleados activos'!$A$2:$E$225)</f>
        <v>2.7113028111845385</v>
      </c>
      <c r="C45" s="41" cm="1">
        <f t="array" ref="C45">ProbActivoEnAnio("Femenino", A45, Hombres!$A$1:$DW$116, Mujeres!$A$1:$DW$116, 'Empleados activos'!$A$2:$E$225)</f>
        <v>0</v>
      </c>
      <c r="D45" s="43">
        <f>B45+C45</f>
        <v>2.7113028111845385</v>
      </c>
    </row>
    <row r="46" spans="1:4" x14ac:dyDescent="0.35">
      <c r="A46" s="41">
        <f t="shared" si="1"/>
        <v>2069</v>
      </c>
      <c r="B46" s="43" cm="1">
        <f t="array" ref="B46">ProbActivoEnAnio("Masculino", A46, Hombres!$A$1:$DW$116, Mujeres!$A$1:$DW$116, 'Empleados activos'!$A$2:$E$225)</f>
        <v>0</v>
      </c>
      <c r="C46" s="41" cm="1">
        <f t="array" ref="C46">ProbActivoEnAnio("Femenino", A46, Hombres!$A$1:$DW$116, Mujeres!$A$1:$DW$116, 'Empleados activos'!$A$2:$E$225)</f>
        <v>0</v>
      </c>
      <c r="D46" s="43">
        <f t="shared" si="0"/>
        <v>0</v>
      </c>
    </row>
    <row r="47" spans="1:4" x14ac:dyDescent="0.35">
      <c r="B47" s="18"/>
      <c r="C47" s="18"/>
      <c r="D47" s="18"/>
    </row>
    <row r="48" spans="1:4" x14ac:dyDescent="0.35">
      <c r="B48" s="18"/>
      <c r="C48" s="18"/>
      <c r="D48" s="18"/>
    </row>
    <row r="49" spans="2:4" x14ac:dyDescent="0.35">
      <c r="B49" s="18"/>
      <c r="C49" s="18"/>
      <c r="D49" s="18"/>
    </row>
    <row r="50" spans="2:4" x14ac:dyDescent="0.35">
      <c r="B50" s="18"/>
      <c r="C50" s="18"/>
      <c r="D50" s="18"/>
    </row>
    <row r="51" spans="2:4" x14ac:dyDescent="0.35">
      <c r="B51" s="18"/>
      <c r="C51" s="18"/>
      <c r="D51" s="18"/>
    </row>
    <row r="52" spans="2:4" x14ac:dyDescent="0.35">
      <c r="B52" s="18"/>
      <c r="C52" s="18"/>
      <c r="D52" s="18"/>
    </row>
    <row r="53" spans="2:4" x14ac:dyDescent="0.35">
      <c r="B53" s="18"/>
      <c r="C53" s="18"/>
      <c r="D53" s="18"/>
    </row>
    <row r="54" spans="2:4" x14ac:dyDescent="0.35">
      <c r="B54" s="18"/>
      <c r="C54" s="18"/>
      <c r="D54" s="18"/>
    </row>
    <row r="55" spans="2:4" x14ac:dyDescent="0.35">
      <c r="B55" s="18"/>
      <c r="C55" s="18"/>
      <c r="D55" s="18"/>
    </row>
    <row r="56" spans="2:4" x14ac:dyDescent="0.35">
      <c r="B56" s="18"/>
      <c r="C56" s="18"/>
      <c r="D56" s="18"/>
    </row>
    <row r="57" spans="2:4" x14ac:dyDescent="0.35">
      <c r="B57" s="18"/>
      <c r="C57" s="18"/>
      <c r="D57" s="18"/>
    </row>
    <row r="58" spans="2:4" x14ac:dyDescent="0.35">
      <c r="B58" s="18"/>
      <c r="C58" s="18"/>
      <c r="D58" s="18"/>
    </row>
    <row r="59" spans="2:4" x14ac:dyDescent="0.35">
      <c r="B59" s="18"/>
      <c r="C59" s="18"/>
      <c r="D59" s="18"/>
    </row>
    <row r="60" spans="2:4" x14ac:dyDescent="0.35">
      <c r="B60" s="18"/>
      <c r="C60" s="18"/>
      <c r="D60" s="18"/>
    </row>
    <row r="61" spans="2:4" x14ac:dyDescent="0.35">
      <c r="B61" s="18"/>
      <c r="C61" s="18"/>
      <c r="D61" s="18"/>
    </row>
    <row r="62" spans="2:4" x14ac:dyDescent="0.35">
      <c r="B62" s="18"/>
      <c r="C62" s="18"/>
      <c r="D62" s="18"/>
    </row>
    <row r="63" spans="2:4" x14ac:dyDescent="0.35">
      <c r="B63" s="18"/>
      <c r="C63" s="18"/>
      <c r="D63" s="18"/>
    </row>
    <row r="64" spans="2:4" x14ac:dyDescent="0.35">
      <c r="B64" s="18"/>
      <c r="C64" s="18"/>
      <c r="D64" s="18"/>
    </row>
    <row r="65" spans="2:4" x14ac:dyDescent="0.35">
      <c r="B65" s="18"/>
      <c r="C65" s="18"/>
      <c r="D65" s="18"/>
    </row>
    <row r="66" spans="2:4" x14ac:dyDescent="0.35">
      <c r="B66" s="18"/>
      <c r="C66" s="18"/>
      <c r="D66" s="18"/>
    </row>
    <row r="67" spans="2:4" x14ac:dyDescent="0.35">
      <c r="B67" s="18"/>
      <c r="C67" s="18"/>
      <c r="D67" s="18"/>
    </row>
    <row r="68" spans="2:4" x14ac:dyDescent="0.35">
      <c r="B68" s="18"/>
      <c r="C68" s="18"/>
      <c r="D68" s="18"/>
    </row>
    <row r="69" spans="2:4" x14ac:dyDescent="0.35">
      <c r="B69" s="18"/>
      <c r="C69" s="18"/>
      <c r="D69" s="18"/>
    </row>
    <row r="70" spans="2:4" x14ac:dyDescent="0.35">
      <c r="B70" s="18"/>
      <c r="C70" s="18"/>
      <c r="D70" s="18"/>
    </row>
    <row r="71" spans="2:4" x14ac:dyDescent="0.35">
      <c r="B71" s="18"/>
      <c r="C71" s="18"/>
      <c r="D71" s="18"/>
    </row>
    <row r="72" spans="2:4" x14ac:dyDescent="0.35">
      <c r="B72" s="18"/>
      <c r="C72" s="18"/>
      <c r="D72" s="18"/>
    </row>
    <row r="73" spans="2:4" x14ac:dyDescent="0.35">
      <c r="B73" s="18"/>
      <c r="C73" s="18"/>
      <c r="D73" s="18"/>
    </row>
    <row r="74" spans="2:4" x14ac:dyDescent="0.35">
      <c r="B74" s="18"/>
      <c r="C74" s="18"/>
      <c r="D74" s="18"/>
    </row>
    <row r="75" spans="2:4" x14ac:dyDescent="0.35">
      <c r="B75" s="18"/>
      <c r="C75" s="18"/>
      <c r="D75" s="18"/>
    </row>
    <row r="76" spans="2:4" x14ac:dyDescent="0.35">
      <c r="B76" s="18"/>
      <c r="C76" s="18"/>
      <c r="D76" s="18"/>
    </row>
    <row r="77" spans="2:4" x14ac:dyDescent="0.35">
      <c r="B77" s="18"/>
      <c r="C77" s="18"/>
      <c r="D77" s="18"/>
    </row>
    <row r="78" spans="2:4" x14ac:dyDescent="0.35">
      <c r="B78" s="18"/>
      <c r="C78" s="18"/>
      <c r="D78" s="18"/>
    </row>
    <row r="79" spans="2:4" x14ac:dyDescent="0.35">
      <c r="B79" s="18"/>
      <c r="C79" s="18"/>
      <c r="D79" s="18"/>
    </row>
    <row r="80" spans="2:4" x14ac:dyDescent="0.35">
      <c r="B80" s="18"/>
      <c r="C80" s="18"/>
      <c r="D80" s="18"/>
    </row>
    <row r="81" spans="2:4" x14ac:dyDescent="0.35">
      <c r="B81" s="18"/>
      <c r="C81" s="18"/>
      <c r="D81" s="18"/>
    </row>
    <row r="82" spans="2:4" x14ac:dyDescent="0.35">
      <c r="B82" s="18"/>
      <c r="C82" s="18"/>
      <c r="D82" s="18"/>
    </row>
    <row r="83" spans="2:4" x14ac:dyDescent="0.35">
      <c r="B83" s="18"/>
      <c r="C83" s="18"/>
      <c r="D83" s="18"/>
    </row>
    <row r="84" spans="2:4" x14ac:dyDescent="0.35">
      <c r="B84" s="18"/>
      <c r="C84" s="18"/>
      <c r="D84" s="18"/>
    </row>
    <row r="85" spans="2:4" x14ac:dyDescent="0.35">
      <c r="B85" s="18"/>
      <c r="C85" s="18"/>
      <c r="D85" s="18"/>
    </row>
    <row r="86" spans="2:4" x14ac:dyDescent="0.35">
      <c r="B86" s="18"/>
      <c r="C86" s="18"/>
      <c r="D86" s="18"/>
    </row>
    <row r="87" spans="2:4" x14ac:dyDescent="0.35">
      <c r="B87" s="18"/>
      <c r="C87" s="18"/>
      <c r="D87" s="18"/>
    </row>
    <row r="88" spans="2:4" x14ac:dyDescent="0.35">
      <c r="B88" s="18"/>
      <c r="C88" s="18"/>
      <c r="D88" s="18"/>
    </row>
    <row r="89" spans="2:4" x14ac:dyDescent="0.35">
      <c r="B89" s="18"/>
      <c r="C89" s="18"/>
      <c r="D89" s="18"/>
    </row>
    <row r="90" spans="2:4" x14ac:dyDescent="0.35">
      <c r="B90" s="18"/>
      <c r="C90" s="18"/>
      <c r="D90" s="18"/>
    </row>
    <row r="91" spans="2:4" x14ac:dyDescent="0.35">
      <c r="B91" s="18"/>
      <c r="C91" s="18"/>
      <c r="D91" s="18"/>
    </row>
    <row r="92" spans="2:4" x14ac:dyDescent="0.35">
      <c r="B92" s="18"/>
      <c r="C92" s="18"/>
      <c r="D92" s="18"/>
    </row>
    <row r="93" spans="2:4" x14ac:dyDescent="0.35">
      <c r="B93" s="18"/>
      <c r="C93" s="18"/>
      <c r="D93" s="18"/>
    </row>
    <row r="94" spans="2:4" x14ac:dyDescent="0.35">
      <c r="B94" s="18"/>
      <c r="C94" s="18"/>
      <c r="D94" s="18"/>
    </row>
    <row r="95" spans="2:4" x14ac:dyDescent="0.35">
      <c r="B95" s="18"/>
      <c r="C95" s="18"/>
      <c r="D95" s="18"/>
    </row>
    <row r="96" spans="2:4" x14ac:dyDescent="0.35">
      <c r="B96" s="18"/>
      <c r="C96" s="18"/>
      <c r="D96" s="18"/>
    </row>
    <row r="97" spans="2:4" x14ac:dyDescent="0.35">
      <c r="B97" s="18"/>
      <c r="C97" s="18"/>
      <c r="D97" s="18"/>
    </row>
    <row r="98" spans="2:4" x14ac:dyDescent="0.35">
      <c r="B98" s="18"/>
      <c r="C98" s="18"/>
      <c r="D98" s="18"/>
    </row>
    <row r="99" spans="2:4" x14ac:dyDescent="0.35">
      <c r="B99" s="18"/>
      <c r="C99" s="18"/>
      <c r="D99" s="18"/>
    </row>
    <row r="100" spans="2:4" x14ac:dyDescent="0.35">
      <c r="B100" s="18"/>
      <c r="C100" s="18"/>
      <c r="D100" s="18"/>
    </row>
    <row r="101" spans="2:4" x14ac:dyDescent="0.35">
      <c r="B101" s="18"/>
      <c r="C101" s="18"/>
      <c r="D101" s="18"/>
    </row>
    <row r="102" spans="2:4" x14ac:dyDescent="0.35">
      <c r="B102" s="18"/>
      <c r="C102" s="18"/>
      <c r="D102" s="18"/>
    </row>
    <row r="103" spans="2:4" x14ac:dyDescent="0.35">
      <c r="B103" s="18"/>
      <c r="C103" s="18"/>
      <c r="D103" s="18"/>
    </row>
    <row r="104" spans="2:4" x14ac:dyDescent="0.35">
      <c r="B104" s="18"/>
      <c r="C104" s="18"/>
      <c r="D104" s="18"/>
    </row>
    <row r="105" spans="2:4" x14ac:dyDescent="0.35">
      <c r="B105" s="18"/>
      <c r="C105" s="18"/>
      <c r="D105" s="18"/>
    </row>
    <row r="106" spans="2:4" x14ac:dyDescent="0.35">
      <c r="B106" s="18"/>
      <c r="C106" s="18"/>
      <c r="D106" s="18"/>
    </row>
    <row r="107" spans="2:4" x14ac:dyDescent="0.35">
      <c r="B107" s="18"/>
      <c r="C107" s="18"/>
      <c r="D107" s="18"/>
    </row>
    <row r="108" spans="2:4" x14ac:dyDescent="0.35">
      <c r="B108" s="18"/>
      <c r="C108" s="18"/>
      <c r="D108" s="18"/>
    </row>
    <row r="109" spans="2:4" x14ac:dyDescent="0.35">
      <c r="B109" s="18"/>
      <c r="C109" s="18"/>
      <c r="D109" s="18"/>
    </row>
    <row r="110" spans="2:4" x14ac:dyDescent="0.35">
      <c r="B110" s="18"/>
      <c r="C110" s="18"/>
      <c r="D110" s="18"/>
    </row>
    <row r="111" spans="2:4" x14ac:dyDescent="0.35">
      <c r="B111" s="18"/>
      <c r="C111" s="18"/>
      <c r="D111" s="18"/>
    </row>
    <row r="112" spans="2:4" x14ac:dyDescent="0.35">
      <c r="B112" s="18"/>
      <c r="C112" s="18"/>
    </row>
    <row r="113" spans="2:3" x14ac:dyDescent="0.35">
      <c r="B113" s="18"/>
      <c r="C113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H99"/>
  <sheetViews>
    <sheetView workbookViewId="0">
      <selection activeCell="H5" sqref="H5"/>
    </sheetView>
  </sheetViews>
  <sheetFormatPr baseColWidth="10" defaultRowHeight="14.5" x14ac:dyDescent="0.35"/>
  <cols>
    <col min="2" max="2" width="12.6328125" bestFit="1" customWidth="1"/>
    <col min="3" max="3" width="12.08984375" bestFit="1" customWidth="1"/>
    <col min="4" max="4" width="13.7265625" bestFit="1" customWidth="1"/>
    <col min="5" max="5" width="11.1796875" bestFit="1" customWidth="1"/>
    <col min="6" max="6" width="14.81640625" bestFit="1" customWidth="1"/>
    <col min="8" max="8" width="12.36328125" bestFit="1" customWidth="1"/>
  </cols>
  <sheetData>
    <row r="1" spans="1:8" x14ac:dyDescent="0.35">
      <c r="A1" s="55" t="s">
        <v>31</v>
      </c>
      <c r="B1" s="55"/>
      <c r="C1" s="55"/>
      <c r="D1" s="55"/>
      <c r="E1" s="55"/>
      <c r="F1" s="55"/>
    </row>
    <row r="2" spans="1:8" x14ac:dyDescent="0.35">
      <c r="A2" s="55" t="s">
        <v>35</v>
      </c>
      <c r="B2" s="55" t="s">
        <v>32</v>
      </c>
      <c r="C2" s="55"/>
      <c r="D2" s="55" t="s">
        <v>33</v>
      </c>
      <c r="E2" s="55"/>
      <c r="F2" s="56" t="s">
        <v>34</v>
      </c>
    </row>
    <row r="3" spans="1:8" x14ac:dyDescent="0.35">
      <c r="A3" s="57"/>
      <c r="B3" s="39" t="s">
        <v>5</v>
      </c>
      <c r="C3" s="39" t="s">
        <v>6</v>
      </c>
      <c r="D3" s="39" t="s">
        <v>5</v>
      </c>
      <c r="E3" s="39" t="s">
        <v>6</v>
      </c>
      <c r="F3" s="56"/>
    </row>
    <row r="4" spans="1:8" x14ac:dyDescent="0.35">
      <c r="A4" s="58">
        <v>2025</v>
      </c>
      <c r="B4" s="61" cm="1">
        <f t="array" ref="B4">ProyBeneficioMuerteActivos($D$3, A4,  Hombres!$A$1:$DW$117, Mujeres!$A$1:$DW$117, Pensionados!$A$2:$G$166,'Empleados activos'!$A$2:$I$225)</f>
        <v>966190.00000000023</v>
      </c>
      <c r="C4" s="62" cm="1">
        <f t="array" ref="C4">ProyBeneficioMuerteActivos($E$3, A4,  Hombres!$A$1:$DW$117, Mujeres!$A$1:$DW$117, Pensionados!$A$2:$G$166,'Empleados activos'!$A$2:$I$225)</f>
        <v>447671.00000000012</v>
      </c>
      <c r="D4" s="67" cm="1">
        <f t="array" ref="D4">ProyBeneficioMuertePensionados($D$3, A4,  Hombres!$A$1:$DW$117, Mujeres!$A$1:$DW$117, Pensionados!$A$2:$G$166,'Empleados activos'!$A$2:$I$225)</f>
        <v>7323151.200000003</v>
      </c>
      <c r="E4" s="62" cm="1">
        <f t="array" ref="E4">ProyBeneficioMuertePensionados($E$3, A4,  Hombres!$A$1:$DW$117, Mujeres!$A$1:$DW$117, Pensionados!$A$2:$G$166,'Empleados activos'!$A$2:$I$225)</f>
        <v>5988474.2999999989</v>
      </c>
      <c r="F4" s="70">
        <f>B4+C4+D4+E4</f>
        <v>14725486.500000002</v>
      </c>
      <c r="H4" s="52">
        <f>B4+C4</f>
        <v>1413861.0000000005</v>
      </c>
    </row>
    <row r="5" spans="1:8" x14ac:dyDescent="0.35">
      <c r="A5" s="59">
        <v>2026</v>
      </c>
      <c r="B5" s="63" cm="1">
        <f t="array" ref="B5">ProyBeneficioMuerteActivos($D$3, A5,  Hombres!$A$1:$DW$117, Mujeres!$A$1:$DW$117, Pensionados!$A$2:$G$166,'Empleados activos'!$A$2:$I$225)</f>
        <v>954037.50000000012</v>
      </c>
      <c r="C5" s="64" cm="1">
        <f t="array" ref="C5">ProyBeneficioMuerteActivos($E$3, A5,  Hombres!$A$1:$DW$117, Mujeres!$A$1:$DW$117, Pensionados!$A$2:$G$166,'Empleados activos'!$A$2:$I$225)</f>
        <v>437173.49999999983</v>
      </c>
      <c r="D5" s="68" cm="1">
        <f t="array" ref="D5">ProyBeneficioMuertePensionados($D$3, A5,  Hombres!$A$1:$DW$117, Mujeres!$A$1:$DW$117, Pensionados!$A$2:$G$166,'Empleados activos'!$A$2:$I$225)</f>
        <v>7251140.3999999985</v>
      </c>
      <c r="E5" s="64" cm="1">
        <f t="array" ref="E5">ProyBeneficioMuertePensionados($E$3, A5,  Hombres!$A$1:$DW$117, Mujeres!$A$1:$DW$117, Pensionados!$A$2:$G$166,'Empleados activos'!$A$2:$I$225)</f>
        <v>5908398.6000000006</v>
      </c>
      <c r="F5" s="71">
        <f t="shared" ref="F5:F68" si="0">B5+C5+D5+E5</f>
        <v>14550750</v>
      </c>
    </row>
    <row r="6" spans="1:8" x14ac:dyDescent="0.35">
      <c r="A6" s="59">
        <v>2027</v>
      </c>
      <c r="B6" s="63" cm="1">
        <f t="array" ref="B6">ProyBeneficioMuerteActivos($D$3, A6,  Hombres!$A$1:$DW$117, Mujeres!$A$1:$DW$117, Pensionados!$A$2:$G$166,'Empleados activos'!$A$2:$I$225)</f>
        <v>987469.37420469988</v>
      </c>
      <c r="C6" s="64" cm="1">
        <f t="array" ref="C6">ProyBeneficioMuerteActivos($E$3, A6,  Hombres!$A$1:$DW$117, Mujeres!$A$1:$DW$117, Pensionados!$A$2:$G$166,'Empleados activos'!$A$2:$I$225)</f>
        <v>461429.92069750006</v>
      </c>
      <c r="D6" s="68" cm="1">
        <f t="array" ref="D6">ProyBeneficioMuertePensionados($D$3, A6,  Hombres!$A$1:$DW$117, Mujeres!$A$1:$DW$117, Pensionados!$A$2:$G$166,'Empleados activos'!$A$2:$I$225)</f>
        <v>7334745.4792272644</v>
      </c>
      <c r="E6" s="64" cm="1">
        <f t="array" ref="E6">ProyBeneficioMuertePensionados($E$3, A6,  Hombres!$A$1:$DW$117, Mujeres!$A$1:$DW$117, Pensionados!$A$2:$G$166,'Empleados activos'!$A$2:$I$225)</f>
        <v>6226432.0223257784</v>
      </c>
      <c r="F6" s="71">
        <f t="shared" si="0"/>
        <v>15010076.796455244</v>
      </c>
    </row>
    <row r="7" spans="1:8" x14ac:dyDescent="0.35">
      <c r="A7" s="59">
        <v>2028</v>
      </c>
      <c r="B7" s="63" cm="1">
        <f t="array" ref="B7">ProyBeneficioMuerteActivos($D$3, A7,  Hombres!$A$1:$DW$117, Mujeres!$A$1:$DW$117, Pensionados!$A$2:$G$166,'Empleados activos'!$A$2:$I$225)</f>
        <v>1026895.1964570704</v>
      </c>
      <c r="C7" s="64" cm="1">
        <f t="array" ref="C7">ProyBeneficioMuerteActivos($E$3, A7,  Hombres!$A$1:$DW$117, Mujeres!$A$1:$DW$117, Pensionados!$A$2:$G$166,'Empleados activos'!$A$2:$I$225)</f>
        <v>488610.85230292456</v>
      </c>
      <c r="D7" s="68" cm="1">
        <f t="array" ref="D7">ProyBeneficioMuertePensionados($D$3, A7,  Hombres!$A$1:$DW$117, Mujeres!$A$1:$DW$117, Pensionados!$A$2:$G$166,'Empleados activos'!$A$2:$I$225)</f>
        <v>7456629.5031482177</v>
      </c>
      <c r="E7" s="64" cm="1">
        <f t="array" ref="E7">ProyBeneficioMuertePensionados($E$3, A7,  Hombres!$A$1:$DW$117, Mujeres!$A$1:$DW$117, Pensionados!$A$2:$G$166,'Empleados activos'!$A$2:$I$225)</f>
        <v>6536728.8738854481</v>
      </c>
      <c r="F7" s="71">
        <f t="shared" si="0"/>
        <v>15508864.425793663</v>
      </c>
    </row>
    <row r="8" spans="1:8" x14ac:dyDescent="0.35">
      <c r="A8" s="59">
        <v>2029</v>
      </c>
      <c r="B8" s="63" cm="1">
        <f t="array" ref="B8">ProyBeneficioMuerteActivos($D$3, A8,  Hombres!$A$1:$DW$117, Mujeres!$A$1:$DW$117, Pensionados!$A$2:$G$166,'Empleados activos'!$A$2:$I$225)</f>
        <v>1016076.3369233918</v>
      </c>
      <c r="C8" s="64" cm="1">
        <f t="array" ref="C8">ProyBeneficioMuerteActivos($E$3, A8,  Hombres!$A$1:$DW$117, Mujeres!$A$1:$DW$117, Pensionados!$A$2:$G$166,'Empleados activos'!$A$2:$I$225)</f>
        <v>518167.50717500935</v>
      </c>
      <c r="D8" s="68" cm="1">
        <f t="array" ref="D8">ProyBeneficioMuertePensionados($D$3, A8,  Hombres!$A$1:$DW$117, Mujeres!$A$1:$DW$117, Pensionados!$A$2:$G$166,'Empleados activos'!$A$2:$I$225)</f>
        <v>7531480.9018042646</v>
      </c>
      <c r="E8" s="64" cm="1">
        <f t="array" ref="E8">ProyBeneficioMuertePensionados($E$3, A8,  Hombres!$A$1:$DW$117, Mujeres!$A$1:$DW$117, Pensionados!$A$2:$G$166,'Empleados activos'!$A$2:$I$225)</f>
        <v>6849759.434964831</v>
      </c>
      <c r="F8" s="71">
        <f t="shared" si="0"/>
        <v>15915484.180867497</v>
      </c>
    </row>
    <row r="9" spans="1:8" x14ac:dyDescent="0.35">
      <c r="A9" s="59">
        <v>2030</v>
      </c>
      <c r="B9" s="63" cm="1">
        <f t="array" ref="B9">ProyBeneficioMuerteActivos($D$3, A9,  Hombres!$A$1:$DW$117, Mujeres!$A$1:$DW$117, Pensionados!$A$2:$G$166,'Empleados activos'!$A$2:$I$225)</f>
        <v>1061704.4517308208</v>
      </c>
      <c r="C9" s="64" cm="1">
        <f t="array" ref="C9">ProyBeneficioMuerteActivos($E$3, A9,  Hombres!$A$1:$DW$117, Mujeres!$A$1:$DW$117, Pensionados!$A$2:$G$166,'Empleados activos'!$A$2:$I$225)</f>
        <v>549824.37190352683</v>
      </c>
      <c r="D9" s="68" cm="1">
        <f t="array" ref="D9">ProyBeneficioMuertePensionados($D$3, A9,  Hombres!$A$1:$DW$117, Mujeres!$A$1:$DW$117, Pensionados!$A$2:$G$166,'Empleados activos'!$A$2:$I$225)</f>
        <v>7604277.9080320904</v>
      </c>
      <c r="E9" s="64" cm="1">
        <f t="array" ref="E9">ProyBeneficioMuertePensionados($E$3, A9,  Hombres!$A$1:$DW$117, Mujeres!$A$1:$DW$117, Pensionados!$A$2:$G$166,'Empleados activos'!$A$2:$I$225)</f>
        <v>7155900.6317974823</v>
      </c>
      <c r="F9" s="71">
        <f t="shared" si="0"/>
        <v>16371707.36346392</v>
      </c>
    </row>
    <row r="10" spans="1:8" x14ac:dyDescent="0.35">
      <c r="A10" s="59">
        <v>2031</v>
      </c>
      <c r="B10" s="63" cm="1">
        <f t="array" ref="B10">ProyBeneficioMuerteActivos($D$3, A10,  Hombres!$A$1:$DW$117, Mujeres!$A$1:$DW$117, Pensionados!$A$2:$G$166,'Empleados activos'!$A$2:$I$225)</f>
        <v>1112820.937603598</v>
      </c>
      <c r="C10" s="64" cm="1">
        <f t="array" ref="C10">ProyBeneficioMuerteActivos($E$3, A10,  Hombres!$A$1:$DW$117, Mujeres!$A$1:$DW$117, Pensionados!$A$2:$G$166,'Empleados activos'!$A$2:$I$225)</f>
        <v>559616.87855990755</v>
      </c>
      <c r="D10" s="68" cm="1">
        <f t="array" ref="D10">ProyBeneficioMuertePensionados($D$3, A10,  Hombres!$A$1:$DW$117, Mujeres!$A$1:$DW$117, Pensionados!$A$2:$G$166,'Empleados activos'!$A$2:$I$225)</f>
        <v>7669975.9952298887</v>
      </c>
      <c r="E10" s="64" cm="1">
        <f t="array" ref="E10">ProyBeneficioMuertePensionados($E$3, A10,  Hombres!$A$1:$DW$117, Mujeres!$A$1:$DW$117, Pensionados!$A$2:$G$166,'Empleados activos'!$A$2:$I$225)</f>
        <v>7467273.1404198147</v>
      </c>
      <c r="F10" s="71">
        <f t="shared" si="0"/>
        <v>16809686.95181321</v>
      </c>
    </row>
    <row r="11" spans="1:8" x14ac:dyDescent="0.35">
      <c r="A11" s="59">
        <v>2032</v>
      </c>
      <c r="B11" s="63" cm="1">
        <f t="array" ref="B11">ProyBeneficioMuerteActivos($D$3, A11,  Hombres!$A$1:$DW$117, Mujeres!$A$1:$DW$117, Pensionados!$A$2:$G$166,'Empleados activos'!$A$2:$I$225)</f>
        <v>1171107.4128555667</v>
      </c>
      <c r="C11" s="64" cm="1">
        <f t="array" ref="C11">ProyBeneficioMuerteActivos($E$3, A11,  Hombres!$A$1:$DW$117, Mujeres!$A$1:$DW$117, Pensionados!$A$2:$G$166,'Empleados activos'!$A$2:$I$225)</f>
        <v>571974.85101420141</v>
      </c>
      <c r="D11" s="68" cm="1">
        <f t="array" ref="D11">ProyBeneficioMuertePensionados($D$3, A11,  Hombres!$A$1:$DW$117, Mujeres!$A$1:$DW$117, Pensionados!$A$2:$G$166,'Empleados activos'!$A$2:$I$225)</f>
        <v>7731099.2999947565</v>
      </c>
      <c r="E11" s="64" cm="1">
        <f t="array" ref="E11">ProyBeneficioMuertePensionados($E$3, A11,  Hombres!$A$1:$DW$117, Mujeres!$A$1:$DW$117, Pensionados!$A$2:$G$166,'Empleados activos'!$A$2:$I$225)</f>
        <v>7764793.9455193207</v>
      </c>
      <c r="F11" s="71">
        <f t="shared" si="0"/>
        <v>17238975.509383846</v>
      </c>
    </row>
    <row r="12" spans="1:8" x14ac:dyDescent="0.35">
      <c r="A12" s="59">
        <v>2033</v>
      </c>
      <c r="B12" s="63" cm="1">
        <f t="array" ref="B12">ProyBeneficioMuerteActivos($D$3, A12,  Hombres!$A$1:$DW$117, Mujeres!$A$1:$DW$117, Pensionados!$A$2:$G$166,'Empleados activos'!$A$2:$I$225)</f>
        <v>1235943.6484949198</v>
      </c>
      <c r="C12" s="64" cm="1">
        <f t="array" ref="C12">ProyBeneficioMuerteActivos($E$3, A12,  Hombres!$A$1:$DW$117, Mujeres!$A$1:$DW$117, Pensionados!$A$2:$G$166,'Empleados activos'!$A$2:$I$225)</f>
        <v>586682.47776736331</v>
      </c>
      <c r="D12" s="68" cm="1">
        <f t="array" ref="D12">ProyBeneficioMuertePensionados($D$3, A12,  Hombres!$A$1:$DW$117, Mujeres!$A$1:$DW$117, Pensionados!$A$2:$G$166,'Empleados activos'!$A$2:$I$225)</f>
        <v>7775936.4072457096</v>
      </c>
      <c r="E12" s="64" cm="1">
        <f t="array" ref="E12">ProyBeneficioMuertePensionados($E$3, A12,  Hombres!$A$1:$DW$117, Mujeres!$A$1:$DW$117, Pensionados!$A$2:$G$166,'Empleados activos'!$A$2:$I$225)</f>
        <v>8046845.9430130953</v>
      </c>
      <c r="F12" s="71">
        <f t="shared" si="0"/>
        <v>17645408.476521086</v>
      </c>
    </row>
    <row r="13" spans="1:8" x14ac:dyDescent="0.35">
      <c r="A13" s="59">
        <v>2034</v>
      </c>
      <c r="B13" s="63" cm="1">
        <f t="array" ref="B13">ProyBeneficioMuerteActivos($D$3, A13,  Hombres!$A$1:$DW$117, Mujeres!$A$1:$DW$117, Pensionados!$A$2:$G$166,'Empleados activos'!$A$2:$I$225)</f>
        <v>1304799.9870136124</v>
      </c>
      <c r="C13" s="64" cm="1">
        <f t="array" ref="C13">ProyBeneficioMuerteActivos($E$3, A13,  Hombres!$A$1:$DW$117, Mujeres!$A$1:$DW$117, Pensionados!$A$2:$G$166,'Empleados activos'!$A$2:$I$225)</f>
        <v>625826.46996872826</v>
      </c>
      <c r="D13" s="68" cm="1">
        <f t="array" ref="D13">ProyBeneficioMuertePensionados($D$3, A13,  Hombres!$A$1:$DW$117, Mujeres!$A$1:$DW$117, Pensionados!$A$2:$G$166,'Empleados activos'!$A$2:$I$225)</f>
        <v>7811533.5998577187</v>
      </c>
      <c r="E13" s="64" cm="1">
        <f t="array" ref="E13">ProyBeneficioMuertePensionados($E$3, A13,  Hombres!$A$1:$DW$117, Mujeres!$A$1:$DW$117, Pensionados!$A$2:$G$166,'Empleados activos'!$A$2:$I$225)</f>
        <v>8318331.0848343847</v>
      </c>
      <c r="F13" s="71">
        <f t="shared" si="0"/>
        <v>18060491.141674444</v>
      </c>
    </row>
    <row r="14" spans="1:8" x14ac:dyDescent="0.35">
      <c r="A14" s="59">
        <v>2035</v>
      </c>
      <c r="B14" s="63" cm="1">
        <f t="array" ref="B14">ProyBeneficioMuerteActivos($D$3, A14,  Hombres!$A$1:$DW$117, Mujeres!$A$1:$DW$117, Pensionados!$A$2:$G$166,'Empleados activos'!$A$2:$I$225)</f>
        <v>1375730.6454586436</v>
      </c>
      <c r="C14" s="64" cm="1">
        <f t="array" ref="C14">ProyBeneficioMuerteActivos($E$3, A14,  Hombres!$A$1:$DW$117, Mujeres!$A$1:$DW$117, Pensionados!$A$2:$G$166,'Empleados activos'!$A$2:$I$225)</f>
        <v>643999.59323017613</v>
      </c>
      <c r="D14" s="68" cm="1">
        <f t="array" ref="D14">ProyBeneficioMuertePensionados($D$3, A14,  Hombres!$A$1:$DW$117, Mujeres!$A$1:$DW$117, Pensionados!$A$2:$G$166,'Empleados activos'!$A$2:$I$225)</f>
        <v>7824387.6460666796</v>
      </c>
      <c r="E14" s="64" cm="1">
        <f t="array" ref="E14">ProyBeneficioMuertePensionados($E$3, A14,  Hombres!$A$1:$DW$117, Mujeres!$A$1:$DW$117, Pensionados!$A$2:$G$166,'Empleados activos'!$A$2:$I$225)</f>
        <v>8559641.1122283172</v>
      </c>
      <c r="F14" s="71">
        <f t="shared" si="0"/>
        <v>18403758.996983819</v>
      </c>
    </row>
    <row r="15" spans="1:8" x14ac:dyDescent="0.35">
      <c r="A15" s="59">
        <v>2036</v>
      </c>
      <c r="B15" s="63" cm="1">
        <f t="array" ref="B15">ProyBeneficioMuerteActivos($D$3, A15,  Hombres!$A$1:$DW$117, Mujeres!$A$1:$DW$117, Pensionados!$A$2:$G$166,'Empleados activos'!$A$2:$I$225)</f>
        <v>1451492.1072393281</v>
      </c>
      <c r="C15" s="64" cm="1">
        <f t="array" ref="C15">ProyBeneficioMuerteActivos($E$3, A15,  Hombres!$A$1:$DW$117, Mujeres!$A$1:$DW$117, Pensionados!$A$2:$G$166,'Empleados activos'!$A$2:$I$225)</f>
        <v>686822.70655728295</v>
      </c>
      <c r="D15" s="68" cm="1">
        <f t="array" ref="D15">ProyBeneficioMuertePensionados($D$3, A15,  Hombres!$A$1:$DW$117, Mujeres!$A$1:$DW$117, Pensionados!$A$2:$G$166,'Empleados activos'!$A$2:$I$225)</f>
        <v>7864602.7262381911</v>
      </c>
      <c r="E15" s="64" cm="1">
        <f t="array" ref="E15">ProyBeneficioMuertePensionados($E$3, A15,  Hombres!$A$1:$DW$117, Mujeres!$A$1:$DW$117, Pensionados!$A$2:$G$166,'Empleados activos'!$A$2:$I$225)</f>
        <v>8782053.1264786813</v>
      </c>
      <c r="F15" s="71">
        <f t="shared" si="0"/>
        <v>18784970.666513484</v>
      </c>
    </row>
    <row r="16" spans="1:8" x14ac:dyDescent="0.35">
      <c r="A16" s="59">
        <v>2037</v>
      </c>
      <c r="B16" s="63" cm="1">
        <f t="array" ref="B16">ProyBeneficioMuerteActivos($D$3, A16,  Hombres!$A$1:$DW$117, Mujeres!$A$1:$DW$117, Pensionados!$A$2:$G$166,'Empleados activos'!$A$2:$I$225)</f>
        <v>1487512.3077077346</v>
      </c>
      <c r="C16" s="64" cm="1">
        <f t="array" ref="C16">ProyBeneficioMuerteActivos($E$3, A16,  Hombres!$A$1:$DW$117, Mujeres!$A$1:$DW$117, Pensionados!$A$2:$G$166,'Empleados activos'!$A$2:$I$225)</f>
        <v>735019.36870487558</v>
      </c>
      <c r="D16" s="68" cm="1">
        <f t="array" ref="D16">ProyBeneficioMuertePensionados($D$3, A16,  Hombres!$A$1:$DW$117, Mujeres!$A$1:$DW$117, Pensionados!$A$2:$G$166,'Empleados activos'!$A$2:$I$225)</f>
        <v>7857932.0476267692</v>
      </c>
      <c r="E16" s="64" cm="1">
        <f t="array" ref="E16">ProyBeneficioMuertePensionados($E$3, A16,  Hombres!$A$1:$DW$117, Mujeres!$A$1:$DW$117, Pensionados!$A$2:$G$166,'Empleados activos'!$A$2:$I$225)</f>
        <v>8996056.615602795</v>
      </c>
      <c r="F16" s="71">
        <f t="shared" si="0"/>
        <v>19076520.339642175</v>
      </c>
    </row>
    <row r="17" spans="1:6" x14ac:dyDescent="0.35">
      <c r="A17" s="59">
        <v>2038</v>
      </c>
      <c r="B17" s="63" cm="1">
        <f t="array" ref="B17">ProyBeneficioMuerteActivos($D$3, A17,  Hombres!$A$1:$DW$117, Mujeres!$A$1:$DW$117, Pensionados!$A$2:$G$166,'Empleados activos'!$A$2:$I$225)</f>
        <v>1579714.6788898387</v>
      </c>
      <c r="C17" s="64" cm="1">
        <f t="array" ref="C17">ProyBeneficioMuerteActivos($E$3, A17,  Hombres!$A$1:$DW$117, Mujeres!$A$1:$DW$117, Pensionados!$A$2:$G$166,'Empleados activos'!$A$2:$I$225)</f>
        <v>767030.08388224279</v>
      </c>
      <c r="D17" s="68" cm="1">
        <f t="array" ref="D17">ProyBeneficioMuertePensionados($D$3, A17,  Hombres!$A$1:$DW$117, Mujeres!$A$1:$DW$117, Pensionados!$A$2:$G$166,'Empleados activos'!$A$2:$I$225)</f>
        <v>7871018.0966100004</v>
      </c>
      <c r="E17" s="64" cm="1">
        <f t="array" ref="E17">ProyBeneficioMuertePensionados($E$3, A17,  Hombres!$A$1:$DW$117, Mujeres!$A$1:$DW$117, Pensionados!$A$2:$G$166,'Empleados activos'!$A$2:$I$225)</f>
        <v>9204413.1529426649</v>
      </c>
      <c r="F17" s="71">
        <f t="shared" si="0"/>
        <v>19422176.012324747</v>
      </c>
    </row>
    <row r="18" spans="1:6" x14ac:dyDescent="0.35">
      <c r="A18" s="59">
        <v>2039</v>
      </c>
      <c r="B18" s="63" cm="1">
        <f t="array" ref="B18">ProyBeneficioMuerteActivos($D$3, A18,  Hombres!$A$1:$DW$117, Mujeres!$A$1:$DW$117, Pensionados!$A$2:$G$166,'Empleados activos'!$A$2:$I$225)</f>
        <v>1635153.1714047531</v>
      </c>
      <c r="C18" s="64" cm="1">
        <f t="array" ref="C18">ProyBeneficioMuerteActivos($E$3, A18,  Hombres!$A$1:$DW$117, Mujeres!$A$1:$DW$117, Pensionados!$A$2:$G$166,'Empleados activos'!$A$2:$I$225)</f>
        <v>780563.38222229446</v>
      </c>
      <c r="D18" s="68" cm="1">
        <f t="array" ref="D18">ProyBeneficioMuertePensionados($D$3, A18,  Hombres!$A$1:$DW$117, Mujeres!$A$1:$DW$117, Pensionados!$A$2:$G$166,'Empleados activos'!$A$2:$I$225)</f>
        <v>7904239.5261933049</v>
      </c>
      <c r="E18" s="64" cm="1">
        <f t="array" ref="E18">ProyBeneficioMuertePensionados($E$3, A18,  Hombres!$A$1:$DW$117, Mujeres!$A$1:$DW$117, Pensionados!$A$2:$G$166,'Empleados activos'!$A$2:$I$225)</f>
        <v>9382612.9725615699</v>
      </c>
      <c r="F18" s="71">
        <f t="shared" si="0"/>
        <v>19702569.052381925</v>
      </c>
    </row>
    <row r="19" spans="1:6" x14ac:dyDescent="0.35">
      <c r="A19" s="59">
        <v>2040</v>
      </c>
      <c r="B19" s="63" cm="1">
        <f t="array" ref="B19">ProyBeneficioMuerteActivos($D$3, A19,  Hombres!$A$1:$DW$117, Mujeres!$A$1:$DW$117, Pensionados!$A$2:$G$166,'Empleados activos'!$A$2:$I$225)</f>
        <v>1604374.0715610159</v>
      </c>
      <c r="C19" s="64" cm="1">
        <f t="array" ref="C19">ProyBeneficioMuerteActivos($E$3, A19,  Hombres!$A$1:$DW$117, Mujeres!$A$1:$DW$117, Pensionados!$A$2:$G$166,'Empleados activos'!$A$2:$I$225)</f>
        <v>774234.27376065718</v>
      </c>
      <c r="D19" s="68" cm="1">
        <f t="array" ref="D19">ProyBeneficioMuertePensionados($D$3, A19,  Hombres!$A$1:$DW$117, Mujeres!$A$1:$DW$117, Pensionados!$A$2:$G$166,'Empleados activos'!$A$2:$I$225)</f>
        <v>7928644.1216848716</v>
      </c>
      <c r="E19" s="64" cm="1">
        <f t="array" ref="E19">ProyBeneficioMuertePensionados($E$3, A19,  Hombres!$A$1:$DW$117, Mujeres!$A$1:$DW$117, Pensionados!$A$2:$G$166,'Empleados activos'!$A$2:$I$225)</f>
        <v>9526377.2903593611</v>
      </c>
      <c r="F19" s="71">
        <f t="shared" si="0"/>
        <v>19833629.757365905</v>
      </c>
    </row>
    <row r="20" spans="1:6" x14ac:dyDescent="0.35">
      <c r="A20" s="59">
        <v>2041</v>
      </c>
      <c r="B20" s="63" cm="1">
        <f t="array" ref="B20">ProyBeneficioMuerteActivos($D$3, A20,  Hombres!$A$1:$DW$117, Mujeres!$A$1:$DW$117, Pensionados!$A$2:$G$166,'Empleados activos'!$A$2:$I$225)</f>
        <v>1527685.7032985715</v>
      </c>
      <c r="C20" s="64" cm="1">
        <f t="array" ref="C20">ProyBeneficioMuerteActivos($E$3, A20,  Hombres!$A$1:$DW$117, Mujeres!$A$1:$DW$117, Pensionados!$A$2:$G$166,'Empleados activos'!$A$2:$I$225)</f>
        <v>769262.36917043664</v>
      </c>
      <c r="D20" s="68" cm="1">
        <f t="array" ref="D20">ProyBeneficioMuertePensionados($D$3, A20,  Hombres!$A$1:$DW$117, Mujeres!$A$1:$DW$117, Pensionados!$A$2:$G$166,'Empleados activos'!$A$2:$I$225)</f>
        <v>7845837.2637285264</v>
      </c>
      <c r="E20" s="64" cm="1">
        <f t="array" ref="E20">ProyBeneficioMuertePensionados($E$3, A20,  Hombres!$A$1:$DW$117, Mujeres!$A$1:$DW$117, Pensionados!$A$2:$G$166,'Empleados activos'!$A$2:$I$225)</f>
        <v>9621202.0583614986</v>
      </c>
      <c r="F20" s="71">
        <f t="shared" si="0"/>
        <v>19763987.394559033</v>
      </c>
    </row>
    <row r="21" spans="1:6" x14ac:dyDescent="0.35">
      <c r="A21" s="59">
        <v>2042</v>
      </c>
      <c r="B21" s="63" cm="1">
        <f t="array" ref="B21">ProyBeneficioMuerteActivos($D$3, A21,  Hombres!$A$1:$DW$117, Mujeres!$A$1:$DW$117, Pensionados!$A$2:$G$166,'Empleados activos'!$A$2:$I$225)</f>
        <v>1581667.8828742567</v>
      </c>
      <c r="C21" s="64" cm="1">
        <f t="array" ref="C21">ProyBeneficioMuerteActivos($E$3, A21,  Hombres!$A$1:$DW$117, Mujeres!$A$1:$DW$117, Pensionados!$A$2:$G$166,'Empleados activos'!$A$2:$I$225)</f>
        <v>786849.71838342445</v>
      </c>
      <c r="D21" s="68" cm="1">
        <f t="array" ref="D21">ProyBeneficioMuertePensionados($D$3, A21,  Hombres!$A$1:$DW$117, Mujeres!$A$1:$DW$117, Pensionados!$A$2:$G$166,'Empleados activos'!$A$2:$I$225)</f>
        <v>7802490.5614665467</v>
      </c>
      <c r="E21" s="64" cm="1">
        <f t="array" ref="E21">ProyBeneficioMuertePensionados($E$3, A21,  Hombres!$A$1:$DW$117, Mujeres!$A$1:$DW$117, Pensionados!$A$2:$G$166,'Empleados activos'!$A$2:$I$225)</f>
        <v>9708149.4116448816</v>
      </c>
      <c r="F21" s="71">
        <f t="shared" si="0"/>
        <v>19879157.57436911</v>
      </c>
    </row>
    <row r="22" spans="1:6" x14ac:dyDescent="0.35">
      <c r="A22" s="59">
        <v>2043</v>
      </c>
      <c r="B22" s="63" cm="1">
        <f t="array" ref="B22">ProyBeneficioMuerteActivos($D$3, A22,  Hombres!$A$1:$DW$117, Mujeres!$A$1:$DW$117, Pensionados!$A$2:$G$166,'Empleados activos'!$A$2:$I$225)</f>
        <v>1550259.1199553453</v>
      </c>
      <c r="C22" s="64" cm="1">
        <f t="array" ref="C22">ProyBeneficioMuerteActivos($E$3, A22,  Hombres!$A$1:$DW$117, Mujeres!$A$1:$DW$117, Pensionados!$A$2:$G$166,'Empleados activos'!$A$2:$I$225)</f>
        <v>768370.40612272616</v>
      </c>
      <c r="D22" s="68" cm="1">
        <f t="array" ref="D22">ProyBeneficioMuertePensionados($D$3, A22,  Hombres!$A$1:$DW$117, Mujeres!$A$1:$DW$117, Pensionados!$A$2:$G$166,'Empleados activos'!$A$2:$I$225)</f>
        <v>7661112.3001221959</v>
      </c>
      <c r="E22" s="64" cm="1">
        <f t="array" ref="E22">ProyBeneficioMuertePensionados($E$3, A22,  Hombres!$A$1:$DW$117, Mujeres!$A$1:$DW$117, Pensionados!$A$2:$G$166,'Empleados activos'!$A$2:$I$225)</f>
        <v>9770823.7553009707</v>
      </c>
      <c r="F22" s="71">
        <f t="shared" si="0"/>
        <v>19750565.581501238</v>
      </c>
    </row>
    <row r="23" spans="1:6" x14ac:dyDescent="0.35">
      <c r="A23" s="59">
        <v>2044</v>
      </c>
      <c r="B23" s="63" cm="1">
        <f t="array" ref="B23">ProyBeneficioMuerteActivos($D$3, A23,  Hombres!$A$1:$DW$117, Mujeres!$A$1:$DW$117, Pensionados!$A$2:$G$166,'Empleados activos'!$A$2:$I$225)</f>
        <v>1647318.7240432145</v>
      </c>
      <c r="C23" s="64" cm="1">
        <f t="array" ref="C23">ProyBeneficioMuerteActivos($E$3, A23,  Hombres!$A$1:$DW$117, Mujeres!$A$1:$DW$117, Pensionados!$A$2:$G$166,'Empleados activos'!$A$2:$I$225)</f>
        <v>729104.15526086348</v>
      </c>
      <c r="D23" s="68" cm="1">
        <f t="array" ref="D23">ProyBeneficioMuertePensionados($D$3, A23,  Hombres!$A$1:$DW$117, Mujeres!$A$1:$DW$117, Pensionados!$A$2:$G$166,'Empleados activos'!$A$2:$I$225)</f>
        <v>7592682.8729821732</v>
      </c>
      <c r="E23" s="64" cm="1">
        <f t="array" ref="E23">ProyBeneficioMuertePensionados($E$3, A23,  Hombres!$A$1:$DW$117, Mujeres!$A$1:$DW$117, Pensionados!$A$2:$G$166,'Empleados activos'!$A$2:$I$225)</f>
        <v>9763000.3444727249</v>
      </c>
      <c r="F23" s="71">
        <f t="shared" si="0"/>
        <v>19732106.096758977</v>
      </c>
    </row>
    <row r="24" spans="1:6" x14ac:dyDescent="0.35">
      <c r="A24" s="59">
        <v>2045</v>
      </c>
      <c r="B24" s="63" cm="1">
        <f t="array" ref="B24">ProyBeneficioMuerteActivos($D$3, A24,  Hombres!$A$1:$DW$117, Mujeres!$A$1:$DW$117, Pensionados!$A$2:$G$166,'Empleados activos'!$A$2:$I$225)</f>
        <v>1621432.4019370857</v>
      </c>
      <c r="C24" s="64" cm="1">
        <f t="array" ref="C24">ProyBeneficioMuerteActivos($E$3, A24,  Hombres!$A$1:$DW$117, Mujeres!$A$1:$DW$117, Pensionados!$A$2:$G$166,'Empleados activos'!$A$2:$I$225)</f>
        <v>744066.58399589756</v>
      </c>
      <c r="D24" s="68" cm="1">
        <f t="array" ref="D24">ProyBeneficioMuertePensionados($D$3, A24,  Hombres!$A$1:$DW$117, Mujeres!$A$1:$DW$117, Pensionados!$A$2:$G$166,'Empleados activos'!$A$2:$I$225)</f>
        <v>7442084.0786710717</v>
      </c>
      <c r="E24" s="64" cm="1">
        <f t="array" ref="E24">ProyBeneficioMuertePensionados($E$3, A24,  Hombres!$A$1:$DW$117, Mujeres!$A$1:$DW$117, Pensionados!$A$2:$G$166,'Empleados activos'!$A$2:$I$225)</f>
        <v>9725590.5473396126</v>
      </c>
      <c r="F24" s="71">
        <f t="shared" si="0"/>
        <v>19533173.61194367</v>
      </c>
    </row>
    <row r="25" spans="1:6" x14ac:dyDescent="0.35">
      <c r="A25" s="59">
        <v>2046</v>
      </c>
      <c r="B25" s="63" cm="1">
        <f t="array" ref="B25">ProyBeneficioMuerteActivos($D$3, A25,  Hombres!$A$1:$DW$117, Mujeres!$A$1:$DW$117, Pensionados!$A$2:$G$166,'Empleados activos'!$A$2:$I$225)</f>
        <v>1684995.8172256462</v>
      </c>
      <c r="C25" s="64" cm="1">
        <f t="array" ref="C25">ProyBeneficioMuerteActivos($E$3, A25,  Hombres!$A$1:$DW$117, Mujeres!$A$1:$DW$117, Pensionados!$A$2:$G$166,'Empleados activos'!$A$2:$I$225)</f>
        <v>724301.27585335681</v>
      </c>
      <c r="D25" s="68" cm="1">
        <f t="array" ref="D25">ProyBeneficioMuertePensionados($D$3, A25,  Hombres!$A$1:$DW$117, Mujeres!$A$1:$DW$117, Pensionados!$A$2:$G$166,'Empleados activos'!$A$2:$I$225)</f>
        <v>7421594.6759875361</v>
      </c>
      <c r="E25" s="64" cm="1">
        <f t="array" ref="E25">ProyBeneficioMuertePensionados($E$3, A25,  Hombres!$A$1:$DW$117, Mujeres!$A$1:$DW$117, Pensionados!$A$2:$G$166,'Empleados activos'!$A$2:$I$225)</f>
        <v>9637646.3997259457</v>
      </c>
      <c r="F25" s="71">
        <f t="shared" si="0"/>
        <v>19468538.168792486</v>
      </c>
    </row>
    <row r="26" spans="1:6" x14ac:dyDescent="0.35">
      <c r="A26" s="59">
        <v>2047</v>
      </c>
      <c r="B26" s="63" cm="1">
        <f t="array" ref="B26">ProyBeneficioMuerteActivos($D$3, A26,  Hombres!$A$1:$DW$117, Mujeres!$A$1:$DW$117, Pensionados!$A$2:$G$166,'Empleados activos'!$A$2:$I$225)</f>
        <v>1509320.6075907955</v>
      </c>
      <c r="C26" s="64" cm="1">
        <f t="array" ref="C26">ProyBeneficioMuerteActivos($E$3, A26,  Hombres!$A$1:$DW$117, Mujeres!$A$1:$DW$117, Pensionados!$A$2:$G$166,'Empleados activos'!$A$2:$I$225)</f>
        <v>724899.37075510027</v>
      </c>
      <c r="D26" s="68" cm="1">
        <f t="array" ref="D26">ProyBeneficioMuertePensionados($D$3, A26,  Hombres!$A$1:$DW$117, Mujeres!$A$1:$DW$117, Pensionados!$A$2:$G$166,'Empleados activos'!$A$2:$I$225)</f>
        <v>7234859.228342657</v>
      </c>
      <c r="E26" s="64" cm="1">
        <f t="array" ref="E26">ProyBeneficioMuertePensionados($E$3, A26,  Hombres!$A$1:$DW$117, Mujeres!$A$1:$DW$117, Pensionados!$A$2:$G$166,'Empleados activos'!$A$2:$I$225)</f>
        <v>9504450.943028871</v>
      </c>
      <c r="F26" s="71">
        <f t="shared" si="0"/>
        <v>18973530.149717424</v>
      </c>
    </row>
    <row r="27" spans="1:6" x14ac:dyDescent="0.35">
      <c r="A27" s="59">
        <v>2048</v>
      </c>
      <c r="B27" s="63" cm="1">
        <f t="array" ref="B27">ProyBeneficioMuerteActivos($D$3, A27,  Hombres!$A$1:$DW$117, Mujeres!$A$1:$DW$117, Pensionados!$A$2:$G$166,'Empleados activos'!$A$2:$I$225)</f>
        <v>1581178.0380794613</v>
      </c>
      <c r="C27" s="64" cm="1">
        <f t="array" ref="C27">ProyBeneficioMuerteActivos($E$3, A27,  Hombres!$A$1:$DW$117, Mujeres!$A$1:$DW$117, Pensionados!$A$2:$G$166,'Empleados activos'!$A$2:$I$225)</f>
        <v>746475.93433618592</v>
      </c>
      <c r="D27" s="68" cm="1">
        <f t="array" ref="D27">ProyBeneficioMuertePensionados($D$3, A27,  Hombres!$A$1:$DW$117, Mujeres!$A$1:$DW$117, Pensionados!$A$2:$G$166,'Empleados activos'!$A$2:$I$225)</f>
        <v>7048928.4392113909</v>
      </c>
      <c r="E27" s="64" cm="1">
        <f t="array" ref="E27">ProyBeneficioMuertePensionados($E$3, A27,  Hombres!$A$1:$DW$117, Mujeres!$A$1:$DW$117, Pensionados!$A$2:$G$166,'Empleados activos'!$A$2:$I$225)</f>
        <v>9397182.6282837633</v>
      </c>
      <c r="F27" s="71">
        <f t="shared" si="0"/>
        <v>18773765.039910801</v>
      </c>
    </row>
    <row r="28" spans="1:6" x14ac:dyDescent="0.35">
      <c r="A28" s="59">
        <v>2049</v>
      </c>
      <c r="B28" s="63" cm="1">
        <f t="array" ref="B28">ProyBeneficioMuerteActivos($D$3, A28,  Hombres!$A$1:$DW$117, Mujeres!$A$1:$DW$117, Pensionados!$A$2:$G$166,'Empleados activos'!$A$2:$I$225)</f>
        <v>1662100.4627037456</v>
      </c>
      <c r="C28" s="64" cm="1">
        <f t="array" ref="C28">ProyBeneficioMuerteActivos($E$3, A28,  Hombres!$A$1:$DW$117, Mujeres!$A$1:$DW$117, Pensionados!$A$2:$G$166,'Empleados activos'!$A$2:$I$225)</f>
        <v>681710.72435919382</v>
      </c>
      <c r="D28" s="68" cm="1">
        <f t="array" ref="D28">ProyBeneficioMuertePensionados($D$3, A28,  Hombres!$A$1:$DW$117, Mujeres!$A$1:$DW$117, Pensionados!$A$2:$G$166,'Empleados activos'!$A$2:$I$225)</f>
        <v>6845624.647147947</v>
      </c>
      <c r="E28" s="64" cm="1">
        <f t="array" ref="E28">ProyBeneficioMuertePensionados($E$3, A28,  Hombres!$A$1:$DW$117, Mujeres!$A$1:$DW$117, Pensionados!$A$2:$G$166,'Empleados activos'!$A$2:$I$225)</f>
        <v>9263170.4711433612</v>
      </c>
      <c r="F28" s="71">
        <f t="shared" si="0"/>
        <v>18452606.305354249</v>
      </c>
    </row>
    <row r="29" spans="1:6" x14ac:dyDescent="0.35">
      <c r="A29" s="59">
        <v>2050</v>
      </c>
      <c r="B29" s="63" cm="1">
        <f t="array" ref="B29">ProyBeneficioMuerteActivos($D$3, A29,  Hombres!$A$1:$DW$117, Mujeres!$A$1:$DW$117, Pensionados!$A$2:$G$166,'Empleados activos'!$A$2:$I$225)</f>
        <v>1748922.8972444595</v>
      </c>
      <c r="C29" s="64" cm="1">
        <f t="array" ref="C29">ProyBeneficioMuerteActivos($E$3, A29,  Hombres!$A$1:$DW$117, Mujeres!$A$1:$DW$117, Pensionados!$A$2:$G$166,'Empleados activos'!$A$2:$I$225)</f>
        <v>594291.67762148625</v>
      </c>
      <c r="D29" s="68" cm="1">
        <f t="array" ref="D29">ProyBeneficioMuertePensionados($D$3, A29,  Hombres!$A$1:$DW$117, Mujeres!$A$1:$DW$117, Pensionados!$A$2:$G$166,'Empleados activos'!$A$2:$I$225)</f>
        <v>6645096.387211239</v>
      </c>
      <c r="E29" s="64" cm="1">
        <f t="array" ref="E29">ProyBeneficioMuertePensionados($E$3, A29,  Hombres!$A$1:$DW$117, Mujeres!$A$1:$DW$117, Pensionados!$A$2:$G$166,'Empleados activos'!$A$2:$I$225)</f>
        <v>9017572.8729193248</v>
      </c>
      <c r="F29" s="71">
        <f t="shared" si="0"/>
        <v>18005883.83499651</v>
      </c>
    </row>
    <row r="30" spans="1:6" x14ac:dyDescent="0.35">
      <c r="A30" s="59">
        <v>2051</v>
      </c>
      <c r="B30" s="63" cm="1">
        <f t="array" ref="B30">ProyBeneficioMuerteActivos($D$3, A30,  Hombres!$A$1:$DW$117, Mujeres!$A$1:$DW$117, Pensionados!$A$2:$G$166,'Empleados activos'!$A$2:$I$225)</f>
        <v>1798855.9499426049</v>
      </c>
      <c r="C30" s="64" cm="1">
        <f t="array" ref="C30">ProyBeneficioMuerteActivos($E$3, A30,  Hombres!$A$1:$DW$117, Mujeres!$A$1:$DW$117, Pensionados!$A$2:$G$166,'Empleados activos'!$A$2:$I$225)</f>
        <v>604226.05482534436</v>
      </c>
      <c r="D30" s="68" cm="1">
        <f t="array" ref="D30">ProyBeneficioMuertePensionados($D$3, A30,  Hombres!$A$1:$DW$117, Mujeres!$A$1:$DW$117, Pensionados!$A$2:$G$166,'Empleados activos'!$A$2:$I$225)</f>
        <v>6426924.8825313197</v>
      </c>
      <c r="E30" s="64" cm="1">
        <f t="array" ref="E30">ProyBeneficioMuertePensionados($E$3, A30,  Hombres!$A$1:$DW$117, Mujeres!$A$1:$DW$117, Pensionados!$A$2:$G$166,'Empleados activos'!$A$2:$I$225)</f>
        <v>8765919.6604249999</v>
      </c>
      <c r="F30" s="71">
        <f t="shared" si="0"/>
        <v>17595926.547724269</v>
      </c>
    </row>
    <row r="31" spans="1:6" x14ac:dyDescent="0.35">
      <c r="A31" s="59">
        <v>2052</v>
      </c>
      <c r="B31" s="63" cm="1">
        <f t="array" ref="B31">ProyBeneficioMuerteActivos($D$3, A31,  Hombres!$A$1:$DW$117, Mujeres!$A$1:$DW$117, Pensionados!$A$2:$G$166,'Empleados activos'!$A$2:$I$225)</f>
        <v>1849636.7298676947</v>
      </c>
      <c r="C31" s="64" cm="1">
        <f t="array" ref="C31">ProyBeneficioMuerteActivos($E$3, A31,  Hombres!$A$1:$DW$117, Mujeres!$A$1:$DW$117, Pensionados!$A$2:$G$166,'Empleados activos'!$A$2:$I$225)</f>
        <v>567323.365865467</v>
      </c>
      <c r="D31" s="68" cm="1">
        <f t="array" ref="D31">ProyBeneficioMuertePensionados($D$3, A31,  Hombres!$A$1:$DW$117, Mujeres!$A$1:$DW$117, Pensionados!$A$2:$G$166,'Empleados activos'!$A$2:$I$225)</f>
        <v>6274147.605776567</v>
      </c>
      <c r="E31" s="64" cm="1">
        <f t="array" ref="E31">ProyBeneficioMuertePensionados($E$3, A31,  Hombres!$A$1:$DW$117, Mujeres!$A$1:$DW$117, Pensionados!$A$2:$G$166,'Empleados activos'!$A$2:$I$225)</f>
        <v>8473227.4534748606</v>
      </c>
      <c r="F31" s="71">
        <f t="shared" si="0"/>
        <v>17164335.15498459</v>
      </c>
    </row>
    <row r="32" spans="1:6" x14ac:dyDescent="0.35">
      <c r="A32" s="59">
        <v>2053</v>
      </c>
      <c r="B32" s="63" cm="1">
        <f t="array" ref="B32">ProyBeneficioMuerteActivos($D$3, A32,  Hombres!$A$1:$DW$117, Mujeres!$A$1:$DW$117, Pensionados!$A$2:$G$166,'Empleados activos'!$A$2:$I$225)</f>
        <v>1785440.1392046739</v>
      </c>
      <c r="C32" s="64" cm="1">
        <f t="array" ref="C32">ProyBeneficioMuerteActivos($E$3, A32,  Hombres!$A$1:$DW$117, Mujeres!$A$1:$DW$117, Pensionados!$A$2:$G$166,'Empleados activos'!$A$2:$I$225)</f>
        <v>547179.40902331623</v>
      </c>
      <c r="D32" s="68" cm="1">
        <f t="array" ref="D32">ProyBeneficioMuertePensionados($D$3, A32,  Hombres!$A$1:$DW$117, Mujeres!$A$1:$DW$117, Pensionados!$A$2:$G$166,'Empleados activos'!$A$2:$I$225)</f>
        <v>6111244.9153973917</v>
      </c>
      <c r="E32" s="64" cm="1">
        <f t="array" ref="E32">ProyBeneficioMuertePensionados($E$3, A32,  Hombres!$A$1:$DW$117, Mujeres!$A$1:$DW$117, Pensionados!$A$2:$G$166,'Empleados activos'!$A$2:$I$225)</f>
        <v>8162412.3918034649</v>
      </c>
      <c r="F32" s="71">
        <f t="shared" si="0"/>
        <v>16606276.855428848</v>
      </c>
    </row>
    <row r="33" spans="1:6" x14ac:dyDescent="0.35">
      <c r="A33" s="59">
        <v>2054</v>
      </c>
      <c r="B33" s="63" cm="1">
        <f t="array" ref="B33">ProyBeneficioMuerteActivos($D$3, A33,  Hombres!$A$1:$DW$117, Mujeres!$A$1:$DW$117, Pensionados!$A$2:$G$166,'Empleados activos'!$A$2:$I$225)</f>
        <v>1715571.0867619952</v>
      </c>
      <c r="C33" s="64" cm="1">
        <f t="array" ref="C33">ProyBeneficioMuerteActivos($E$3, A33,  Hombres!$A$1:$DW$117, Mujeres!$A$1:$DW$117, Pensionados!$A$2:$G$166,'Empleados activos'!$A$2:$I$225)</f>
        <v>511105.9874816165</v>
      </c>
      <c r="D33" s="68" cm="1">
        <f t="array" ref="D33">ProyBeneficioMuertePensionados($D$3, A33,  Hombres!$A$1:$DW$117, Mujeres!$A$1:$DW$117, Pensionados!$A$2:$G$166,'Empleados activos'!$A$2:$I$225)</f>
        <v>6019049.7086524814</v>
      </c>
      <c r="E33" s="64" cm="1">
        <f t="array" ref="E33">ProyBeneficioMuertePensionados($E$3, A33,  Hombres!$A$1:$DW$117, Mujeres!$A$1:$DW$117, Pensionados!$A$2:$G$166,'Empleados activos'!$A$2:$I$225)</f>
        <v>7835933.857968566</v>
      </c>
      <c r="F33" s="71">
        <f t="shared" si="0"/>
        <v>16081660.640864659</v>
      </c>
    </row>
    <row r="34" spans="1:6" x14ac:dyDescent="0.35">
      <c r="A34" s="59">
        <v>2055</v>
      </c>
      <c r="B34" s="63" cm="1">
        <f t="array" ref="B34">ProyBeneficioMuerteActivos($D$3, A34,  Hombres!$A$1:$DW$117, Mujeres!$A$1:$DW$117, Pensionados!$A$2:$G$166,'Empleados activos'!$A$2:$I$225)</f>
        <v>1527186.4289722852</v>
      </c>
      <c r="C34" s="64" cm="1">
        <f t="array" ref="C34">ProyBeneficioMuerteActivos($E$3, A34,  Hombres!$A$1:$DW$117, Mujeres!$A$1:$DW$117, Pensionados!$A$2:$G$166,'Empleados activos'!$A$2:$I$225)</f>
        <v>457910.33598019765</v>
      </c>
      <c r="D34" s="68" cm="1">
        <f t="array" ref="D34">ProyBeneficioMuertePensionados($D$3, A34,  Hombres!$A$1:$DW$117, Mujeres!$A$1:$DW$117, Pensionados!$A$2:$G$166,'Empleados activos'!$A$2:$I$225)</f>
        <v>5955321.5571744563</v>
      </c>
      <c r="E34" s="64" cm="1">
        <f t="array" ref="E34">ProyBeneficioMuertePensionados($E$3, A34,  Hombres!$A$1:$DW$117, Mujeres!$A$1:$DW$117, Pensionados!$A$2:$G$166,'Empleados activos'!$A$2:$I$225)</f>
        <v>7541647.0911936956</v>
      </c>
      <c r="F34" s="71">
        <f t="shared" si="0"/>
        <v>15482065.413320635</v>
      </c>
    </row>
    <row r="35" spans="1:6" x14ac:dyDescent="0.35">
      <c r="A35" s="59">
        <v>2056</v>
      </c>
      <c r="B35" s="63" cm="1">
        <f t="array" ref="B35">ProyBeneficioMuerteActivos($D$3, A35,  Hombres!$A$1:$DW$117, Mujeres!$A$1:$DW$117, Pensionados!$A$2:$G$166,'Empleados activos'!$A$2:$I$225)</f>
        <v>1294349.2952753785</v>
      </c>
      <c r="C35" s="64" cm="1">
        <f t="array" ref="C35">ProyBeneficioMuerteActivos($E$3, A35,  Hombres!$A$1:$DW$117, Mujeres!$A$1:$DW$117, Pensionados!$A$2:$G$166,'Empleados activos'!$A$2:$I$225)</f>
        <v>324641.2124064021</v>
      </c>
      <c r="D35" s="68" cm="1">
        <f t="array" ref="D35">ProyBeneficioMuertePensionados($D$3, A35,  Hombres!$A$1:$DW$117, Mujeres!$A$1:$DW$117, Pensionados!$A$2:$G$166,'Empleados activos'!$A$2:$I$225)</f>
        <v>5997141.1462014019</v>
      </c>
      <c r="E35" s="64" cm="1">
        <f t="array" ref="E35">ProyBeneficioMuertePensionados($E$3, A35,  Hombres!$A$1:$DW$117, Mujeres!$A$1:$DW$117, Pensionados!$A$2:$G$166,'Empleados activos'!$A$2:$I$225)</f>
        <v>7171337.3938787952</v>
      </c>
      <c r="F35" s="71">
        <f t="shared" si="0"/>
        <v>14787469.047761977</v>
      </c>
    </row>
    <row r="36" spans="1:6" x14ac:dyDescent="0.35">
      <c r="A36" s="59">
        <v>2057</v>
      </c>
      <c r="B36" s="63" cm="1">
        <f t="array" ref="B36">ProyBeneficioMuerteActivos($D$3, A36,  Hombres!$A$1:$DW$117, Mujeres!$A$1:$DW$117, Pensionados!$A$2:$G$166,'Empleados activos'!$A$2:$I$225)</f>
        <v>904836.79734596517</v>
      </c>
      <c r="C36" s="64" cm="1">
        <f t="array" ref="C36">ProyBeneficioMuerteActivos($E$3, A36,  Hombres!$A$1:$DW$117, Mujeres!$A$1:$DW$117, Pensionados!$A$2:$G$166,'Empleados activos'!$A$2:$I$225)</f>
        <v>305864.92618361017</v>
      </c>
      <c r="D36" s="68" cm="1">
        <f t="array" ref="D36">ProyBeneficioMuertePensionados($D$3, A36,  Hombres!$A$1:$DW$117, Mujeres!$A$1:$DW$117, Pensionados!$A$2:$G$166,'Empleados activos'!$A$2:$I$225)</f>
        <v>5870130.5401739543</v>
      </c>
      <c r="E36" s="64" cm="1">
        <f t="array" ref="E36">ProyBeneficioMuertePensionados($E$3, A36,  Hombres!$A$1:$DW$117, Mujeres!$A$1:$DW$117, Pensionados!$A$2:$G$166,'Empleados activos'!$A$2:$I$225)</f>
        <v>6845677.3718016325</v>
      </c>
      <c r="F36" s="71">
        <f t="shared" si="0"/>
        <v>13926509.635505162</v>
      </c>
    </row>
    <row r="37" spans="1:6" x14ac:dyDescent="0.35">
      <c r="A37" s="59">
        <v>2058</v>
      </c>
      <c r="B37" s="63" cm="1">
        <f t="array" ref="B37">ProyBeneficioMuerteActivos($D$3, A37,  Hombres!$A$1:$DW$117, Mujeres!$A$1:$DW$117, Pensionados!$A$2:$G$166,'Empleados activos'!$A$2:$I$225)</f>
        <v>788886.70073124697</v>
      </c>
      <c r="C37" s="64" cm="1">
        <f t="array" ref="C37">ProyBeneficioMuerteActivos($E$3, A37,  Hombres!$A$1:$DW$117, Mujeres!$A$1:$DW$117, Pensionados!$A$2:$G$166,'Empleados activos'!$A$2:$I$225)</f>
        <v>257100.58780064801</v>
      </c>
      <c r="D37" s="68" cm="1">
        <f t="array" ref="D37">ProyBeneficioMuertePensionados($D$3, A37,  Hombres!$A$1:$DW$117, Mujeres!$A$1:$DW$117, Pensionados!$A$2:$G$166,'Empleados activos'!$A$2:$I$225)</f>
        <v>5763965.140166292</v>
      </c>
      <c r="E37" s="64" cm="1">
        <f t="array" ref="E37">ProyBeneficioMuertePensionados($E$3, A37,  Hombres!$A$1:$DW$117, Mujeres!$A$1:$DW$117, Pensionados!$A$2:$G$166,'Empleados activos'!$A$2:$I$225)</f>
        <v>6548931.8483366827</v>
      </c>
      <c r="F37" s="71">
        <f t="shared" si="0"/>
        <v>13358884.277034869</v>
      </c>
    </row>
    <row r="38" spans="1:6" x14ac:dyDescent="0.35">
      <c r="A38" s="59">
        <v>2059</v>
      </c>
      <c r="B38" s="63" cm="1">
        <f t="array" ref="B38">ProyBeneficioMuerteActivos($D$3, A38,  Hombres!$A$1:$DW$117, Mujeres!$A$1:$DW$117, Pensionados!$A$2:$G$166,'Empleados activos'!$A$2:$I$225)</f>
        <v>701987.73414492724</v>
      </c>
      <c r="C38" s="64" cm="1">
        <f t="array" ref="C38">ProyBeneficioMuerteActivos($E$3, A38,  Hombres!$A$1:$DW$117, Mujeres!$A$1:$DW$117, Pensionados!$A$2:$G$166,'Empleados activos'!$A$2:$I$225)</f>
        <v>205277.52429851436</v>
      </c>
      <c r="D38" s="68" cm="1">
        <f t="array" ref="D38">ProyBeneficioMuertePensionados($D$3, A38,  Hombres!$A$1:$DW$117, Mujeres!$A$1:$DW$117, Pensionados!$A$2:$G$166,'Empleados activos'!$A$2:$I$225)</f>
        <v>5673717.7989444016</v>
      </c>
      <c r="E38" s="64" cm="1">
        <f t="array" ref="E38">ProyBeneficioMuertePensionados($E$3, A38,  Hombres!$A$1:$DW$117, Mujeres!$A$1:$DW$117, Pensionados!$A$2:$G$166,'Empleados activos'!$A$2:$I$225)</f>
        <v>6296287.9838621151</v>
      </c>
      <c r="F38" s="71">
        <f t="shared" si="0"/>
        <v>12877271.041249957</v>
      </c>
    </row>
    <row r="39" spans="1:6" x14ac:dyDescent="0.35">
      <c r="A39" s="59">
        <v>2060</v>
      </c>
      <c r="B39" s="63" cm="1">
        <f t="array" ref="B39">ProyBeneficioMuerteActivos($D$3, A39,  Hombres!$A$1:$DW$117, Mujeres!$A$1:$DW$117, Pensionados!$A$2:$G$166,'Empleados activos'!$A$2:$I$225)</f>
        <v>609417.03956423281</v>
      </c>
      <c r="C39" s="64" cm="1">
        <f t="array" ref="C39">ProyBeneficioMuerteActivos($E$3, A39,  Hombres!$A$1:$DW$117, Mujeres!$A$1:$DW$117, Pensionados!$A$2:$G$166,'Empleados activos'!$A$2:$I$225)</f>
        <v>135627.52736009518</v>
      </c>
      <c r="D39" s="68" cm="1">
        <f t="array" ref="D39">ProyBeneficioMuertePensionados($D$3, A39,  Hombres!$A$1:$DW$117, Mujeres!$A$1:$DW$117, Pensionados!$A$2:$G$166,'Empleados activos'!$A$2:$I$225)</f>
        <v>5602400.497148701</v>
      </c>
      <c r="E39" s="64" cm="1">
        <f t="array" ref="E39">ProyBeneficioMuertePensionados($E$3, A39,  Hombres!$A$1:$DW$117, Mujeres!$A$1:$DW$117, Pensionados!$A$2:$G$166,'Empleados activos'!$A$2:$I$225)</f>
        <v>6049519.2098063678</v>
      </c>
      <c r="F39" s="71">
        <f t="shared" si="0"/>
        <v>12396964.273879398</v>
      </c>
    </row>
    <row r="40" spans="1:6" x14ac:dyDescent="0.35">
      <c r="A40" s="59">
        <v>2061</v>
      </c>
      <c r="B40" s="63" cm="1">
        <f t="array" ref="B40">ProyBeneficioMuerteActivos($D$3, A40,  Hombres!$A$1:$DW$117, Mujeres!$A$1:$DW$117, Pensionados!$A$2:$G$166,'Empleados activos'!$A$2:$I$225)</f>
        <v>546447.60117649485</v>
      </c>
      <c r="C40" s="64" cm="1">
        <f t="array" ref="C40">ProyBeneficioMuerteActivos($E$3, A40,  Hombres!$A$1:$DW$117, Mujeres!$A$1:$DW$117, Pensionados!$A$2:$G$166,'Empleados activos'!$A$2:$I$225)</f>
        <v>133079.23527470059</v>
      </c>
      <c r="D40" s="68" cm="1">
        <f t="array" ref="D40">ProyBeneficioMuertePensionados($D$3, A40,  Hombres!$A$1:$DW$117, Mujeres!$A$1:$DW$117, Pensionados!$A$2:$G$166,'Empleados activos'!$A$2:$I$225)</f>
        <v>5527109.0048636245</v>
      </c>
      <c r="E40" s="64" cm="1">
        <f t="array" ref="E40">ProyBeneficioMuertePensionados($E$3, A40,  Hombres!$A$1:$DW$117, Mujeres!$A$1:$DW$117, Pensionados!$A$2:$G$166,'Empleados activos'!$A$2:$I$225)</f>
        <v>5889197.2894300027</v>
      </c>
      <c r="F40" s="71">
        <f t="shared" si="0"/>
        <v>12095833.130744822</v>
      </c>
    </row>
    <row r="41" spans="1:6" x14ac:dyDescent="0.35">
      <c r="A41" s="59">
        <v>2062</v>
      </c>
      <c r="B41" s="63" cm="1">
        <f t="array" ref="B41">ProyBeneficioMuerteActivos($D$3, A41,  Hombres!$A$1:$DW$117, Mujeres!$A$1:$DW$117, Pensionados!$A$2:$G$166,'Empleados activos'!$A$2:$I$225)</f>
        <v>549871.00667613756</v>
      </c>
      <c r="C41" s="64" cm="1">
        <f t="array" ref="C41">ProyBeneficioMuerteActivos($E$3, A41,  Hombres!$A$1:$DW$117, Mujeres!$A$1:$DW$117, Pensionados!$A$2:$G$166,'Empleados activos'!$A$2:$I$225)</f>
        <v>89645.954951496256</v>
      </c>
      <c r="D41" s="68" cm="1">
        <f t="array" ref="D41">ProyBeneficioMuertePensionados($D$3, A41,  Hombres!$A$1:$DW$117, Mujeres!$A$1:$DW$117, Pensionados!$A$2:$G$166,'Empleados activos'!$A$2:$I$225)</f>
        <v>5570319.2500658156</v>
      </c>
      <c r="E41" s="64" cm="1">
        <f t="array" ref="E41">ProyBeneficioMuertePensionados($E$3, A41,  Hombres!$A$1:$DW$117, Mujeres!$A$1:$DW$117, Pensionados!$A$2:$G$166,'Empleados activos'!$A$2:$I$225)</f>
        <v>5769113.0275164368</v>
      </c>
      <c r="F41" s="71">
        <f t="shared" si="0"/>
        <v>11978949.239209887</v>
      </c>
    </row>
    <row r="42" spans="1:6" x14ac:dyDescent="0.35">
      <c r="A42" s="59">
        <v>2063</v>
      </c>
      <c r="B42" s="63" cm="1">
        <f t="array" ref="B42">ProyBeneficioMuerteActivos($D$3, A42,  Hombres!$A$1:$DW$117, Mujeres!$A$1:$DW$117, Pensionados!$A$2:$G$166,'Empleados activos'!$A$2:$I$225)</f>
        <v>484814.76793718245</v>
      </c>
      <c r="C42" s="64" cm="1">
        <f t="array" ref="C42">ProyBeneficioMuerteActivos($E$3, A42,  Hombres!$A$1:$DW$117, Mujeres!$A$1:$DW$117, Pensionados!$A$2:$G$166,'Empleados activos'!$A$2:$I$225)</f>
        <v>71033.505247736117</v>
      </c>
      <c r="D42" s="68" cm="1">
        <f t="array" ref="D42">ProyBeneficioMuertePensionados($D$3, A42,  Hombres!$A$1:$DW$117, Mujeres!$A$1:$DW$117, Pensionados!$A$2:$G$166,'Empleados activos'!$A$2:$I$225)</f>
        <v>5751746.161203078</v>
      </c>
      <c r="E42" s="64" cm="1">
        <f t="array" ref="E42">ProyBeneficioMuertePensionados($E$3, A42,  Hombres!$A$1:$DW$117, Mujeres!$A$1:$DW$117, Pensionados!$A$2:$G$166,'Empleados activos'!$A$2:$I$225)</f>
        <v>5748906.8726970283</v>
      </c>
      <c r="F42" s="71">
        <f t="shared" si="0"/>
        <v>12056501.307085026</v>
      </c>
    </row>
    <row r="43" spans="1:6" x14ac:dyDescent="0.35">
      <c r="A43" s="59">
        <v>2064</v>
      </c>
      <c r="B43" s="63" cm="1">
        <f t="array" ref="B43">ProyBeneficioMuerteActivos($D$3, A43,  Hombres!$A$1:$DW$117, Mujeres!$A$1:$DW$117, Pensionados!$A$2:$G$166,'Empleados activos'!$A$2:$I$225)</f>
        <v>244819.42329490022</v>
      </c>
      <c r="C43" s="64" cm="1">
        <f t="array" ref="C43">ProyBeneficioMuerteActivos($E$3, A43,  Hombres!$A$1:$DW$117, Mujeres!$A$1:$DW$117, Pensionados!$A$2:$G$166,'Empleados activos'!$A$2:$I$225)</f>
        <v>24126.150512745542</v>
      </c>
      <c r="D43" s="68" cm="1">
        <f t="array" ref="D43">ProyBeneficioMuertePensionados($D$3, A43,  Hombres!$A$1:$DW$117, Mujeres!$A$1:$DW$117, Pensionados!$A$2:$G$166,'Empleados activos'!$A$2:$I$225)</f>
        <v>5854513.4305441221</v>
      </c>
      <c r="E43" s="64" cm="1">
        <f t="array" ref="E43">ProyBeneficioMuertePensionados($E$3, A43,  Hombres!$A$1:$DW$117, Mujeres!$A$1:$DW$117, Pensionados!$A$2:$G$166,'Empleados activos'!$A$2:$I$225)</f>
        <v>5781532.411749634</v>
      </c>
      <c r="F43" s="71">
        <f t="shared" si="0"/>
        <v>11904991.416101402</v>
      </c>
    </row>
    <row r="44" spans="1:6" x14ac:dyDescent="0.35">
      <c r="A44" s="59">
        <v>2065</v>
      </c>
      <c r="B44" s="63" cm="1">
        <f t="array" ref="B44">ProyBeneficioMuerteActivos($D$3, A44,  Hombres!$A$1:$DW$117, Mujeres!$A$1:$DW$117, Pensionados!$A$2:$G$166,'Empleados activos'!$A$2:$I$225)</f>
        <v>193760.05150833906</v>
      </c>
      <c r="C44" s="64" cm="1">
        <f t="array" ref="C44">ProyBeneficioMuerteActivos($E$3, A44,  Hombres!$A$1:$DW$117, Mujeres!$A$1:$DW$117, Pensionados!$A$2:$G$166,'Empleados activos'!$A$2:$I$225)</f>
        <v>0</v>
      </c>
      <c r="D44" s="68" cm="1">
        <f t="array" ref="D44">ProyBeneficioMuertePensionados($D$3, A44,  Hombres!$A$1:$DW$117, Mujeres!$A$1:$DW$117, Pensionados!$A$2:$G$166,'Empleados activos'!$A$2:$I$225)</f>
        <v>6001788.1301790839</v>
      </c>
      <c r="E44" s="64" cm="1">
        <f t="array" ref="E44">ProyBeneficioMuertePensionados($E$3, A44,  Hombres!$A$1:$DW$117, Mujeres!$A$1:$DW$117, Pensionados!$A$2:$G$166,'Empleados activos'!$A$2:$I$225)</f>
        <v>5863087.8450861303</v>
      </c>
      <c r="F44" s="71">
        <f t="shared" si="0"/>
        <v>12058636.026773553</v>
      </c>
    </row>
    <row r="45" spans="1:6" x14ac:dyDescent="0.35">
      <c r="A45" s="59">
        <v>2066</v>
      </c>
      <c r="B45" s="63" cm="1">
        <f t="array" ref="B45">ProyBeneficioMuerteActivos($D$3, A45,  Hombres!$A$1:$DW$117, Mujeres!$A$1:$DW$117, Pensionados!$A$2:$G$166,'Empleados activos'!$A$2:$I$225)</f>
        <v>139642.18435510274</v>
      </c>
      <c r="C45" s="64" cm="1">
        <f t="array" ref="C45">ProyBeneficioMuerteActivos($E$3, A45,  Hombres!$A$1:$DW$117, Mujeres!$A$1:$DW$117, Pensionados!$A$2:$G$166,'Empleados activos'!$A$2:$I$225)</f>
        <v>0</v>
      </c>
      <c r="D45" s="68" cm="1">
        <f t="array" ref="D45">ProyBeneficioMuertePensionados($D$3, A45,  Hombres!$A$1:$DW$117, Mujeres!$A$1:$DW$117, Pensionados!$A$2:$G$166,'Empleados activos'!$A$2:$I$225)</f>
        <v>6159394.2604090469</v>
      </c>
      <c r="E45" s="64" cm="1">
        <f t="array" ref="E45">ProyBeneficioMuertePensionados($E$3, A45,  Hombres!$A$1:$DW$117, Mujeres!$A$1:$DW$117, Pensionados!$A$2:$G$166,'Empleados activos'!$A$2:$I$225)</f>
        <v>6019658.2662962694</v>
      </c>
      <c r="F45" s="71">
        <f t="shared" si="0"/>
        <v>12318694.71106042</v>
      </c>
    </row>
    <row r="46" spans="1:6" x14ac:dyDescent="0.35">
      <c r="A46" s="59">
        <v>2067</v>
      </c>
      <c r="B46" s="63" cm="1">
        <f t="array" ref="B46">ProyBeneficioMuerteActivos($D$3, A46,  Hombres!$A$1:$DW$117, Mujeres!$A$1:$DW$117, Pensionados!$A$2:$G$166,'Empleados activos'!$A$2:$I$225)</f>
        <v>115560.60554448795</v>
      </c>
      <c r="C46" s="64" cm="1">
        <f t="array" ref="C46">ProyBeneficioMuerteActivos($E$3, A46,  Hombres!$A$1:$DW$117, Mujeres!$A$1:$DW$117, Pensionados!$A$2:$G$166,'Empleados activos'!$A$2:$I$225)</f>
        <v>0</v>
      </c>
      <c r="D46" s="68" cm="1">
        <f t="array" ref="D46">ProyBeneficioMuertePensionados($D$3, A46,  Hombres!$A$1:$DW$117, Mujeres!$A$1:$DW$117, Pensionados!$A$2:$G$166,'Empleados activos'!$A$2:$I$225)</f>
        <v>6338536.9871290112</v>
      </c>
      <c r="E46" s="64" cm="1">
        <f t="array" ref="E46">ProyBeneficioMuertePensionados($E$3, A46,  Hombres!$A$1:$DW$117, Mujeres!$A$1:$DW$117, Pensionados!$A$2:$G$166,'Empleados activos'!$A$2:$I$225)</f>
        <v>6232803.7400688799</v>
      </c>
      <c r="F46" s="71">
        <f t="shared" si="0"/>
        <v>12686901.332742378</v>
      </c>
    </row>
    <row r="47" spans="1:6" x14ac:dyDescent="0.35">
      <c r="A47" s="59">
        <v>2068</v>
      </c>
      <c r="B47" s="63" cm="1">
        <f t="array" ref="B47">ProyBeneficioMuerteActivos($D$3, A47,  Hombres!$A$1:$DW$117, Mujeres!$A$1:$DW$117, Pensionados!$A$2:$G$166,'Empleados activos'!$A$2:$I$225)</f>
        <v>90605.803195845452</v>
      </c>
      <c r="C47" s="64" cm="1">
        <f t="array" ref="C47">ProyBeneficioMuerteActivos($E$3, A47,  Hombres!$A$1:$DW$117, Mujeres!$A$1:$DW$117, Pensionados!$A$2:$G$166,'Empleados activos'!$A$2:$I$225)</f>
        <v>0</v>
      </c>
      <c r="D47" s="68" cm="1">
        <f t="array" ref="D47">ProyBeneficioMuertePensionados($D$3, A47,  Hombres!$A$1:$DW$117, Mujeres!$A$1:$DW$117, Pensionados!$A$2:$G$166,'Empleados activos'!$A$2:$I$225)</f>
        <v>6582168.4585056063</v>
      </c>
      <c r="E47" s="64" cm="1">
        <f t="array" ref="E47">ProyBeneficioMuertePensionados($E$3, A47,  Hombres!$A$1:$DW$117, Mujeres!$A$1:$DW$117, Pensionados!$A$2:$G$166,'Empleados activos'!$A$2:$I$225)</f>
        <v>6477787.1816680953</v>
      </c>
      <c r="F47" s="71">
        <f t="shared" si="0"/>
        <v>13150561.443369547</v>
      </c>
    </row>
    <row r="48" spans="1:6" x14ac:dyDescent="0.35">
      <c r="A48" s="59">
        <v>2069</v>
      </c>
      <c r="B48" s="63" cm="1">
        <f t="array" ref="B48">ProyBeneficioMuerteActivos($D$3, A48,  Hombres!$A$1:$DW$117, Mujeres!$A$1:$DW$117, Pensionados!$A$2:$G$166,'Empleados activos'!$A$2:$I$225)</f>
        <v>0</v>
      </c>
      <c r="C48" s="64" cm="1">
        <f t="array" ref="C48">ProyBeneficioMuerteActivos($E$3, A48,  Hombres!$A$1:$DW$117, Mujeres!$A$1:$DW$117, Pensionados!$A$2:$G$166,'Empleados activos'!$A$2:$I$225)</f>
        <v>0</v>
      </c>
      <c r="D48" s="68" cm="1">
        <f t="array" ref="D48">ProyBeneficioMuertePensionados($D$3, A48,  Hombres!$A$1:$DW$117, Mujeres!$A$1:$DW$117, Pensionados!$A$2:$G$166,'Empleados activos'!$A$2:$I$225)</f>
        <v>6774477.7856894694</v>
      </c>
      <c r="E48" s="64" cm="1">
        <f t="array" ref="E48">ProyBeneficioMuertePensionados($E$3, A48,  Hombres!$A$1:$DW$117, Mujeres!$A$1:$DW$117, Pensionados!$A$2:$G$166,'Empleados activos'!$A$2:$I$225)</f>
        <v>6769493.9203993622</v>
      </c>
      <c r="F48" s="71">
        <f t="shared" si="0"/>
        <v>13543971.706088832</v>
      </c>
    </row>
    <row r="49" spans="1:6" x14ac:dyDescent="0.35">
      <c r="A49" s="59">
        <v>2070</v>
      </c>
      <c r="B49" s="63" cm="1">
        <f t="array" ref="B49">ProyBeneficioMuerteActivos($D$3, A49,  Hombres!$A$1:$DW$117, Mujeres!$A$1:$DW$117, Pensionados!$A$2:$G$166,'Empleados activos'!$A$2:$I$225)</f>
        <v>0</v>
      </c>
      <c r="C49" s="64" cm="1">
        <f t="array" ref="C49">ProyBeneficioMuerteActivos($E$3, A49,  Hombres!$A$1:$DW$117, Mujeres!$A$1:$DW$117, Pensionados!$A$2:$G$166,'Empleados activos'!$A$2:$I$225)</f>
        <v>0</v>
      </c>
      <c r="D49" s="68" cm="1">
        <f t="array" ref="D49">ProyBeneficioMuertePensionados($D$3, A49,  Hombres!$A$1:$DW$117, Mujeres!$A$1:$DW$117, Pensionados!$A$2:$G$166,'Empleados activos'!$A$2:$I$225)</f>
        <v>6983979.8110528188</v>
      </c>
      <c r="E49" s="64" cm="1">
        <f t="array" ref="E49">ProyBeneficioMuertePensionados($E$3, A49,  Hombres!$A$1:$DW$117, Mujeres!$A$1:$DW$117, Pensionados!$A$2:$G$166,'Empleados activos'!$A$2:$I$225)</f>
        <v>7083946.4334424483</v>
      </c>
      <c r="F49" s="71">
        <f t="shared" si="0"/>
        <v>14067926.244495267</v>
      </c>
    </row>
    <row r="50" spans="1:6" x14ac:dyDescent="0.35">
      <c r="A50" s="59">
        <v>2071</v>
      </c>
      <c r="B50" s="63" cm="1">
        <f t="array" ref="B50">ProyBeneficioMuerteActivos($D$3, A50,  Hombres!$A$1:$DW$117, Mujeres!$A$1:$DW$117, Pensionados!$A$2:$G$166,'Empleados activos'!$A$2:$I$225)</f>
        <v>0</v>
      </c>
      <c r="C50" s="64" cm="1">
        <f t="array" ref="C50">ProyBeneficioMuerteActivos($E$3, A50,  Hombres!$A$1:$DW$117, Mujeres!$A$1:$DW$117, Pensionados!$A$2:$G$166,'Empleados activos'!$A$2:$I$225)</f>
        <v>0</v>
      </c>
      <c r="D50" s="68" cm="1">
        <f t="array" ref="D50">ProyBeneficioMuertePensionados($D$3, A50,  Hombres!$A$1:$DW$117, Mujeres!$A$1:$DW$117, Pensionados!$A$2:$G$166,'Empleados activos'!$A$2:$I$225)</f>
        <v>7201972.4892868297</v>
      </c>
      <c r="E50" s="64" cm="1">
        <f t="array" ref="E50">ProyBeneficioMuertePensionados($E$3, A50,  Hombres!$A$1:$DW$117, Mujeres!$A$1:$DW$117, Pensionados!$A$2:$G$166,'Empleados activos'!$A$2:$I$225)</f>
        <v>7423462.6756603532</v>
      </c>
      <c r="F50" s="71">
        <f t="shared" si="0"/>
        <v>14625435.164947182</v>
      </c>
    </row>
    <row r="51" spans="1:6" x14ac:dyDescent="0.35">
      <c r="A51" s="59">
        <v>2072</v>
      </c>
      <c r="B51" s="63" cm="1">
        <f t="array" ref="B51">ProyBeneficioMuerteActivos($D$3, A51,  Hombres!$A$1:$DW$117, Mujeres!$A$1:$DW$117, Pensionados!$A$2:$G$166,'Empleados activos'!$A$2:$I$225)</f>
        <v>0</v>
      </c>
      <c r="C51" s="64" cm="1">
        <f t="array" ref="C51">ProyBeneficioMuerteActivos($E$3, A51,  Hombres!$A$1:$DW$117, Mujeres!$A$1:$DW$117, Pensionados!$A$2:$G$166,'Empleados activos'!$A$2:$I$225)</f>
        <v>0</v>
      </c>
      <c r="D51" s="68" cm="1">
        <f t="array" ref="D51">ProyBeneficioMuertePensionados($D$3, A51,  Hombres!$A$1:$DW$117, Mujeres!$A$1:$DW$117, Pensionados!$A$2:$G$166,'Empleados activos'!$A$2:$I$225)</f>
        <v>7442189.9270287678</v>
      </c>
      <c r="E51" s="64" cm="1">
        <f t="array" ref="E51">ProyBeneficioMuertePensionados($E$3, A51,  Hombres!$A$1:$DW$117, Mujeres!$A$1:$DW$117, Pensionados!$A$2:$G$166,'Empleados activos'!$A$2:$I$225)</f>
        <v>7786828.0168313393</v>
      </c>
      <c r="F51" s="71">
        <f t="shared" si="0"/>
        <v>15229017.943860106</v>
      </c>
    </row>
    <row r="52" spans="1:6" x14ac:dyDescent="0.35">
      <c r="A52" s="59">
        <v>2073</v>
      </c>
      <c r="B52" s="63" cm="1">
        <f t="array" ref="B52">ProyBeneficioMuerteActivos($D$3, A52,  Hombres!$A$1:$DW$117, Mujeres!$A$1:$DW$117, Pensionados!$A$2:$G$166,'Empleados activos'!$A$2:$I$225)</f>
        <v>0</v>
      </c>
      <c r="C52" s="64" cm="1">
        <f t="array" ref="C52">ProyBeneficioMuerteActivos($E$3, A52,  Hombres!$A$1:$DW$117, Mujeres!$A$1:$DW$117, Pensionados!$A$2:$G$166,'Empleados activos'!$A$2:$I$225)</f>
        <v>0</v>
      </c>
      <c r="D52" s="68" cm="1">
        <f t="array" ref="D52">ProyBeneficioMuertePensionados($D$3, A52,  Hombres!$A$1:$DW$117, Mujeres!$A$1:$DW$117, Pensionados!$A$2:$G$166,'Empleados activos'!$A$2:$I$225)</f>
        <v>7658588.8822181551</v>
      </c>
      <c r="E52" s="64" cm="1">
        <f t="array" ref="E52">ProyBeneficioMuertePensionados($E$3, A52,  Hombres!$A$1:$DW$117, Mujeres!$A$1:$DW$117, Pensionados!$A$2:$G$166,'Empleados activos'!$A$2:$I$225)</f>
        <v>8177326.4020802183</v>
      </c>
      <c r="F52" s="71">
        <f t="shared" si="0"/>
        <v>15835915.284298373</v>
      </c>
    </row>
    <row r="53" spans="1:6" x14ac:dyDescent="0.35">
      <c r="A53" s="59">
        <v>2074</v>
      </c>
      <c r="B53" s="63" cm="1">
        <f t="array" ref="B53">ProyBeneficioMuerteActivos($D$3, A53,  Hombres!$A$1:$DW$117, Mujeres!$A$1:$DW$117, Pensionados!$A$2:$G$166,'Empleados activos'!$A$2:$I$225)</f>
        <v>0</v>
      </c>
      <c r="C53" s="64" cm="1">
        <f t="array" ref="C53">ProyBeneficioMuerteActivos($E$3, A53,  Hombres!$A$1:$DW$117, Mujeres!$A$1:$DW$117, Pensionados!$A$2:$G$166,'Empleados activos'!$A$2:$I$225)</f>
        <v>0</v>
      </c>
      <c r="D53" s="68" cm="1">
        <f t="array" ref="D53">ProyBeneficioMuertePensionados($D$3, A53,  Hombres!$A$1:$DW$117, Mujeres!$A$1:$DW$117, Pensionados!$A$2:$G$166,'Empleados activos'!$A$2:$I$225)</f>
        <v>7859103.4731917055</v>
      </c>
      <c r="E53" s="64" cm="1">
        <f t="array" ref="E53">ProyBeneficioMuertePensionados($E$3, A53,  Hombres!$A$1:$DW$117, Mujeres!$A$1:$DW$117, Pensionados!$A$2:$G$166,'Empleados activos'!$A$2:$I$225)</f>
        <v>8540856.1988790501</v>
      </c>
      <c r="F53" s="71">
        <f t="shared" si="0"/>
        <v>16399959.672070757</v>
      </c>
    </row>
    <row r="54" spans="1:6" x14ac:dyDescent="0.35">
      <c r="A54" s="59">
        <v>2075</v>
      </c>
      <c r="B54" s="63" cm="1">
        <f t="array" ref="B54">ProyBeneficioMuerteActivos($D$3, A54,  Hombres!$A$1:$DW$117, Mujeres!$A$1:$DW$117, Pensionados!$A$2:$G$166,'Empleados activos'!$A$2:$I$225)</f>
        <v>0</v>
      </c>
      <c r="C54" s="64" cm="1">
        <f t="array" ref="C54">ProyBeneficioMuerteActivos($E$3, A54,  Hombres!$A$1:$DW$117, Mujeres!$A$1:$DW$117, Pensionados!$A$2:$G$166,'Empleados activos'!$A$2:$I$225)</f>
        <v>0</v>
      </c>
      <c r="D54" s="68" cm="1">
        <f t="array" ref="D54">ProyBeneficioMuertePensionados($D$3, A54,  Hombres!$A$1:$DW$117, Mujeres!$A$1:$DW$117, Pensionados!$A$2:$G$166,'Empleados activos'!$A$2:$I$225)</f>
        <v>8037242.6473994125</v>
      </c>
      <c r="E54" s="64" cm="1">
        <f t="array" ref="E54">ProyBeneficioMuertePensionados($E$3, A54,  Hombres!$A$1:$DW$117, Mujeres!$A$1:$DW$117, Pensionados!$A$2:$G$166,'Empleados activos'!$A$2:$I$225)</f>
        <v>8892763.3044374753</v>
      </c>
      <c r="F54" s="71">
        <f t="shared" si="0"/>
        <v>16930005.951836888</v>
      </c>
    </row>
    <row r="55" spans="1:6" x14ac:dyDescent="0.35">
      <c r="A55" s="59">
        <v>2076</v>
      </c>
      <c r="B55" s="63" cm="1">
        <f t="array" ref="B55">ProyBeneficioMuerteActivos($D$3, A55,  Hombres!$A$1:$DW$117, Mujeres!$A$1:$DW$117, Pensionados!$A$2:$G$166,'Empleados activos'!$A$2:$I$225)</f>
        <v>0</v>
      </c>
      <c r="C55" s="64" cm="1">
        <f t="array" ref="C55">ProyBeneficioMuerteActivos($E$3, A55,  Hombres!$A$1:$DW$117, Mujeres!$A$1:$DW$117, Pensionados!$A$2:$G$166,'Empleados activos'!$A$2:$I$225)</f>
        <v>0</v>
      </c>
      <c r="D55" s="68" cm="1">
        <f t="array" ref="D55">ProyBeneficioMuertePensionados($D$3, A55,  Hombres!$A$1:$DW$117, Mujeres!$A$1:$DW$117, Pensionados!$A$2:$G$166,'Empleados activos'!$A$2:$I$225)</f>
        <v>8189128.6351089757</v>
      </c>
      <c r="E55" s="64" cm="1">
        <f t="array" ref="E55">ProyBeneficioMuertePensionados($E$3, A55,  Hombres!$A$1:$DW$117, Mujeres!$A$1:$DW$117, Pensionados!$A$2:$G$166,'Empleados activos'!$A$2:$I$225)</f>
        <v>9222400.6329117343</v>
      </c>
      <c r="F55" s="71">
        <f t="shared" si="0"/>
        <v>17411529.268020712</v>
      </c>
    </row>
    <row r="56" spans="1:6" x14ac:dyDescent="0.35">
      <c r="A56" s="59">
        <v>2077</v>
      </c>
      <c r="B56" s="63" cm="1">
        <f t="array" ref="B56">ProyBeneficioMuerteActivos($D$3, A56,  Hombres!$A$1:$DW$117, Mujeres!$A$1:$DW$117, Pensionados!$A$2:$G$166,'Empleados activos'!$A$2:$I$225)</f>
        <v>0</v>
      </c>
      <c r="C56" s="64" cm="1">
        <f t="array" ref="C56">ProyBeneficioMuerteActivos($E$3, A56,  Hombres!$A$1:$DW$117, Mujeres!$A$1:$DW$117, Pensionados!$A$2:$G$166,'Empleados activos'!$A$2:$I$225)</f>
        <v>0</v>
      </c>
      <c r="D56" s="68" cm="1">
        <f t="array" ref="D56">ProyBeneficioMuertePensionados($D$3, A56,  Hombres!$A$1:$DW$117, Mujeres!$A$1:$DW$117, Pensionados!$A$2:$G$166,'Empleados activos'!$A$2:$I$225)</f>
        <v>8313455.665680144</v>
      </c>
      <c r="E56" s="64" cm="1">
        <f t="array" ref="E56">ProyBeneficioMuertePensionados($E$3, A56,  Hombres!$A$1:$DW$117, Mujeres!$A$1:$DW$117, Pensionados!$A$2:$G$166,'Empleados activos'!$A$2:$I$225)</f>
        <v>9532192.3317059018</v>
      </c>
      <c r="F56" s="71">
        <f t="shared" si="0"/>
        <v>17845647.997386046</v>
      </c>
    </row>
    <row r="57" spans="1:6" x14ac:dyDescent="0.35">
      <c r="A57" s="59">
        <v>2078</v>
      </c>
      <c r="B57" s="63" cm="1">
        <f t="array" ref="B57">ProyBeneficioMuerteActivos($D$3, A57,  Hombres!$A$1:$DW$117, Mujeres!$A$1:$DW$117, Pensionados!$A$2:$G$166,'Empleados activos'!$A$2:$I$225)</f>
        <v>0</v>
      </c>
      <c r="C57" s="64" cm="1">
        <f t="array" ref="C57">ProyBeneficioMuerteActivos($E$3, A57,  Hombres!$A$1:$DW$117, Mujeres!$A$1:$DW$117, Pensionados!$A$2:$G$166,'Empleados activos'!$A$2:$I$225)</f>
        <v>0</v>
      </c>
      <c r="D57" s="68" cm="1">
        <f t="array" ref="D57">ProyBeneficioMuertePensionados($D$3, A57,  Hombres!$A$1:$DW$117, Mujeres!$A$1:$DW$117, Pensionados!$A$2:$G$166,'Empleados activos'!$A$2:$I$225)</f>
        <v>8423684.1810237262</v>
      </c>
      <c r="E57" s="64" cm="1">
        <f t="array" ref="E57">ProyBeneficioMuertePensionados($E$3, A57,  Hombres!$A$1:$DW$117, Mujeres!$A$1:$DW$117, Pensionados!$A$2:$G$166,'Empleados activos'!$A$2:$I$225)</f>
        <v>9800297.8696316481</v>
      </c>
      <c r="F57" s="71">
        <f t="shared" si="0"/>
        <v>18223982.050655372</v>
      </c>
    </row>
    <row r="58" spans="1:6" x14ac:dyDescent="0.35">
      <c r="A58" s="59">
        <v>2079</v>
      </c>
      <c r="B58" s="63" cm="1">
        <f t="array" ref="B58">ProyBeneficioMuerteActivos($D$3, A58,  Hombres!$A$1:$DW$117, Mujeres!$A$1:$DW$117, Pensionados!$A$2:$G$166,'Empleados activos'!$A$2:$I$225)</f>
        <v>0</v>
      </c>
      <c r="C58" s="64" cm="1">
        <f t="array" ref="C58">ProyBeneficioMuerteActivos($E$3, A58,  Hombres!$A$1:$DW$117, Mujeres!$A$1:$DW$117, Pensionados!$A$2:$G$166,'Empleados activos'!$A$2:$I$225)</f>
        <v>0</v>
      </c>
      <c r="D58" s="68" cm="1">
        <f t="array" ref="D58">ProyBeneficioMuertePensionados($D$3, A58,  Hombres!$A$1:$DW$117, Mujeres!$A$1:$DW$117, Pensionados!$A$2:$G$166,'Empleados activos'!$A$2:$I$225)</f>
        <v>8523970.721388258</v>
      </c>
      <c r="E58" s="64" cm="1">
        <f t="array" ref="E58">ProyBeneficioMuertePensionados($E$3, A58,  Hombres!$A$1:$DW$117, Mujeres!$A$1:$DW$117, Pensionados!$A$2:$G$166,'Empleados activos'!$A$2:$I$225)</f>
        <v>10035794.791382937</v>
      </c>
      <c r="F58" s="71">
        <f t="shared" si="0"/>
        <v>18559765.512771197</v>
      </c>
    </row>
    <row r="59" spans="1:6" x14ac:dyDescent="0.35">
      <c r="A59" s="59">
        <v>2080</v>
      </c>
      <c r="B59" s="63" cm="1">
        <f t="array" ref="B59">ProyBeneficioMuerteActivos($D$3, A59,  Hombres!$A$1:$DW$117, Mujeres!$A$1:$DW$117, Pensionados!$A$2:$G$166,'Empleados activos'!$A$2:$I$225)</f>
        <v>0</v>
      </c>
      <c r="C59" s="64" cm="1">
        <f t="array" ref="C59">ProyBeneficioMuerteActivos($E$3, A59,  Hombres!$A$1:$DW$117, Mujeres!$A$1:$DW$117, Pensionados!$A$2:$G$166,'Empleados activos'!$A$2:$I$225)</f>
        <v>0</v>
      </c>
      <c r="D59" s="68" cm="1">
        <f t="array" ref="D59">ProyBeneficioMuertePensionados($D$3, A59,  Hombres!$A$1:$DW$117, Mujeres!$A$1:$DW$117, Pensionados!$A$2:$G$166,'Empleados activos'!$A$2:$I$225)</f>
        <v>8569019.7653639335</v>
      </c>
      <c r="E59" s="64" cm="1">
        <f t="array" ref="E59">ProyBeneficioMuertePensionados($E$3, A59,  Hombres!$A$1:$DW$117, Mujeres!$A$1:$DW$117, Pensionados!$A$2:$G$166,'Empleados activos'!$A$2:$I$225)</f>
        <v>10211899.248723473</v>
      </c>
      <c r="F59" s="71">
        <f t="shared" si="0"/>
        <v>18780919.014087409</v>
      </c>
    </row>
    <row r="60" spans="1:6" x14ac:dyDescent="0.35">
      <c r="A60" s="59">
        <v>2081</v>
      </c>
      <c r="B60" s="63" cm="1">
        <f t="array" ref="B60">ProyBeneficioMuerteActivos($D$3, A60,  Hombres!$A$1:$DW$117, Mujeres!$A$1:$DW$117, Pensionados!$A$2:$G$166,'Empleados activos'!$A$2:$I$225)</f>
        <v>0</v>
      </c>
      <c r="C60" s="64" cm="1">
        <f t="array" ref="C60">ProyBeneficioMuerteActivos($E$3, A60,  Hombres!$A$1:$DW$117, Mujeres!$A$1:$DW$117, Pensionados!$A$2:$G$166,'Empleados activos'!$A$2:$I$225)</f>
        <v>0</v>
      </c>
      <c r="D60" s="68" cm="1">
        <f t="array" ref="D60">ProyBeneficioMuertePensionados($D$3, A60,  Hombres!$A$1:$DW$117, Mujeres!$A$1:$DW$117, Pensionados!$A$2:$G$166,'Empleados activos'!$A$2:$I$225)</f>
        <v>8578614.4439686406</v>
      </c>
      <c r="E60" s="64" cm="1">
        <f t="array" ref="E60">ProyBeneficioMuertePensionados($E$3, A60,  Hombres!$A$1:$DW$117, Mujeres!$A$1:$DW$117, Pensionados!$A$2:$G$166,'Empleados activos'!$A$2:$I$225)</f>
        <v>10338893.501399627</v>
      </c>
      <c r="F60" s="71">
        <f t="shared" si="0"/>
        <v>18917507.945368268</v>
      </c>
    </row>
    <row r="61" spans="1:6" x14ac:dyDescent="0.35">
      <c r="A61" s="59">
        <v>2082</v>
      </c>
      <c r="B61" s="63" cm="1">
        <f t="array" ref="B61">ProyBeneficioMuerteActivos($D$3, A61,  Hombres!$A$1:$DW$117, Mujeres!$A$1:$DW$117, Pensionados!$A$2:$G$166,'Empleados activos'!$A$2:$I$225)</f>
        <v>0</v>
      </c>
      <c r="C61" s="64" cm="1">
        <f t="array" ref="C61">ProyBeneficioMuerteActivos($E$3, A61,  Hombres!$A$1:$DW$117, Mujeres!$A$1:$DW$117, Pensionados!$A$2:$G$166,'Empleados activos'!$A$2:$I$225)</f>
        <v>0</v>
      </c>
      <c r="D61" s="68" cm="1">
        <f t="array" ref="D61">ProyBeneficioMuertePensionados($D$3, A61,  Hombres!$A$1:$DW$117, Mujeres!$A$1:$DW$117, Pensionados!$A$2:$G$166,'Empleados activos'!$A$2:$I$225)</f>
        <v>8552458.3429393712</v>
      </c>
      <c r="E61" s="64" cm="1">
        <f t="array" ref="E61">ProyBeneficioMuertePensionados($E$3, A61,  Hombres!$A$1:$DW$117, Mujeres!$A$1:$DW$117, Pensionados!$A$2:$G$166,'Empleados activos'!$A$2:$I$225)</f>
        <v>10408176.134919813</v>
      </c>
      <c r="F61" s="71">
        <f t="shared" si="0"/>
        <v>18960634.477859184</v>
      </c>
    </row>
    <row r="62" spans="1:6" x14ac:dyDescent="0.35">
      <c r="A62" s="59">
        <v>2083</v>
      </c>
      <c r="B62" s="63" cm="1">
        <f t="array" ref="B62">ProyBeneficioMuerteActivos($D$3, A62,  Hombres!$A$1:$DW$117, Mujeres!$A$1:$DW$117, Pensionados!$A$2:$G$166,'Empleados activos'!$A$2:$I$225)</f>
        <v>0</v>
      </c>
      <c r="C62" s="64" cm="1">
        <f t="array" ref="C62">ProyBeneficioMuerteActivos($E$3, A62,  Hombres!$A$1:$DW$117, Mujeres!$A$1:$DW$117, Pensionados!$A$2:$G$166,'Empleados activos'!$A$2:$I$225)</f>
        <v>0</v>
      </c>
      <c r="D62" s="68" cm="1">
        <f t="array" ref="D62">ProyBeneficioMuertePensionados($D$3, A62,  Hombres!$A$1:$DW$117, Mujeres!$A$1:$DW$117, Pensionados!$A$2:$G$166,'Empleados activos'!$A$2:$I$225)</f>
        <v>8492006.7793830242</v>
      </c>
      <c r="E62" s="64" cm="1">
        <f t="array" ref="E62">ProyBeneficioMuertePensionados($E$3, A62,  Hombres!$A$1:$DW$117, Mujeres!$A$1:$DW$117, Pensionados!$A$2:$G$166,'Empleados activos'!$A$2:$I$225)</f>
        <v>10419320.436692527</v>
      </c>
      <c r="F62" s="71">
        <f t="shared" si="0"/>
        <v>18911327.216075551</v>
      </c>
    </row>
    <row r="63" spans="1:6" x14ac:dyDescent="0.35">
      <c r="A63" s="59">
        <v>2084</v>
      </c>
      <c r="B63" s="63" cm="1">
        <f t="array" ref="B63">ProyBeneficioMuerteActivos($D$3, A63,  Hombres!$A$1:$DW$117, Mujeres!$A$1:$DW$117, Pensionados!$A$2:$G$166,'Empleados activos'!$A$2:$I$225)</f>
        <v>0</v>
      </c>
      <c r="C63" s="64" cm="1">
        <f t="array" ref="C63">ProyBeneficioMuerteActivos($E$3, A63,  Hombres!$A$1:$DW$117, Mujeres!$A$1:$DW$117, Pensionados!$A$2:$G$166,'Empleados activos'!$A$2:$I$225)</f>
        <v>0</v>
      </c>
      <c r="D63" s="68" cm="1">
        <f t="array" ref="D63">ProyBeneficioMuertePensionados($D$3, A63,  Hombres!$A$1:$DW$117, Mujeres!$A$1:$DW$117, Pensionados!$A$2:$G$166,'Empleados activos'!$A$2:$I$225)</f>
        <v>8395363.883206524</v>
      </c>
      <c r="E63" s="64" cm="1">
        <f t="array" ref="E63">ProyBeneficioMuertePensionados($E$3, A63,  Hombres!$A$1:$DW$117, Mujeres!$A$1:$DW$117, Pensionados!$A$2:$G$166,'Empleados activos'!$A$2:$I$225)</f>
        <v>10369775.010057207</v>
      </c>
      <c r="F63" s="71">
        <f t="shared" si="0"/>
        <v>18765138.893263731</v>
      </c>
    </row>
    <row r="64" spans="1:6" x14ac:dyDescent="0.35">
      <c r="A64" s="59">
        <v>2085</v>
      </c>
      <c r="B64" s="63" cm="1">
        <f t="array" ref="B64">ProyBeneficioMuerteActivos($D$3, A64,  Hombres!$A$1:$DW$117, Mujeres!$A$1:$DW$117, Pensionados!$A$2:$G$166,'Empleados activos'!$A$2:$I$225)</f>
        <v>0</v>
      </c>
      <c r="C64" s="64" cm="1">
        <f t="array" ref="C64">ProyBeneficioMuerteActivos($E$3, A64,  Hombres!$A$1:$DW$117, Mujeres!$A$1:$DW$117, Pensionados!$A$2:$G$166,'Empleados activos'!$A$2:$I$225)</f>
        <v>0</v>
      </c>
      <c r="D64" s="68" cm="1">
        <f t="array" ref="D64">ProyBeneficioMuertePensionados($D$3, A64,  Hombres!$A$1:$DW$117, Mujeres!$A$1:$DW$117, Pensionados!$A$2:$G$166,'Empleados activos'!$A$2:$I$225)</f>
        <v>8237437.0022873664</v>
      </c>
      <c r="E64" s="64" cm="1">
        <f t="array" ref="E64">ProyBeneficioMuertePensionados($E$3, A64,  Hombres!$A$1:$DW$117, Mujeres!$A$1:$DW$117, Pensionados!$A$2:$G$166,'Empleados activos'!$A$2:$I$225)</f>
        <v>10254026.943349397</v>
      </c>
      <c r="F64" s="71">
        <f t="shared" si="0"/>
        <v>18491463.945636764</v>
      </c>
    </row>
    <row r="65" spans="1:6" x14ac:dyDescent="0.35">
      <c r="A65" s="59">
        <v>2086</v>
      </c>
      <c r="B65" s="63" cm="1">
        <f t="array" ref="B65">ProyBeneficioMuerteActivos($D$3, A65,  Hombres!$A$1:$DW$117, Mujeres!$A$1:$DW$117, Pensionados!$A$2:$G$166,'Empleados activos'!$A$2:$I$225)</f>
        <v>0</v>
      </c>
      <c r="C65" s="64" cm="1">
        <f t="array" ref="C65">ProyBeneficioMuerteActivos($E$3, A65,  Hombres!$A$1:$DW$117, Mujeres!$A$1:$DW$117, Pensionados!$A$2:$G$166,'Empleados activos'!$A$2:$I$225)</f>
        <v>0</v>
      </c>
      <c r="D65" s="68" cm="1">
        <f t="array" ref="D65">ProyBeneficioMuertePensionados($D$3, A65,  Hombres!$A$1:$DW$117, Mujeres!$A$1:$DW$117, Pensionados!$A$2:$G$166,'Empleados activos'!$A$2:$I$225)</f>
        <v>8028118.8891074937</v>
      </c>
      <c r="E65" s="64" cm="1">
        <f t="array" ref="E65">ProyBeneficioMuertePensionados($E$3, A65,  Hombres!$A$1:$DW$117, Mujeres!$A$1:$DW$117, Pensionados!$A$2:$G$166,'Empleados activos'!$A$2:$I$225)</f>
        <v>10075548.422363283</v>
      </c>
      <c r="F65" s="71">
        <f t="shared" si="0"/>
        <v>18103667.311470777</v>
      </c>
    </row>
    <row r="66" spans="1:6" x14ac:dyDescent="0.35">
      <c r="A66" s="59">
        <v>2087</v>
      </c>
      <c r="B66" s="63" cm="1">
        <f t="array" ref="B66">ProyBeneficioMuerteActivos($D$3, A66,  Hombres!$A$1:$DW$117, Mujeres!$A$1:$DW$117, Pensionados!$A$2:$G$166,'Empleados activos'!$A$2:$I$225)</f>
        <v>0</v>
      </c>
      <c r="C66" s="64" cm="1">
        <f t="array" ref="C66">ProyBeneficioMuerteActivos($E$3, A66,  Hombres!$A$1:$DW$117, Mujeres!$A$1:$DW$117, Pensionados!$A$2:$G$166,'Empleados activos'!$A$2:$I$225)</f>
        <v>0</v>
      </c>
      <c r="D66" s="68" cm="1">
        <f t="array" ref="D66">ProyBeneficioMuertePensionados($D$3, A66,  Hombres!$A$1:$DW$117, Mujeres!$A$1:$DW$117, Pensionados!$A$2:$G$166,'Empleados activos'!$A$2:$I$225)</f>
        <v>7770493.6299693575</v>
      </c>
      <c r="E66" s="64" cm="1">
        <f t="array" ref="E66">ProyBeneficioMuertePensionados($E$3, A66,  Hombres!$A$1:$DW$117, Mujeres!$A$1:$DW$117, Pensionados!$A$2:$G$166,'Empleados activos'!$A$2:$I$225)</f>
        <v>9839244.6783694699</v>
      </c>
      <c r="F66" s="71">
        <f t="shared" si="0"/>
        <v>17609738.308338828</v>
      </c>
    </row>
    <row r="67" spans="1:6" x14ac:dyDescent="0.35">
      <c r="A67" s="59">
        <v>2088</v>
      </c>
      <c r="B67" s="63" cm="1">
        <f t="array" ref="B67">ProyBeneficioMuerteActivos($D$3, A67,  Hombres!$A$1:$DW$117, Mujeres!$A$1:$DW$117, Pensionados!$A$2:$G$166,'Empleados activos'!$A$2:$I$225)</f>
        <v>0</v>
      </c>
      <c r="C67" s="64" cm="1">
        <f t="array" ref="C67">ProyBeneficioMuerteActivos($E$3, A67,  Hombres!$A$1:$DW$117, Mujeres!$A$1:$DW$117, Pensionados!$A$2:$G$166,'Empleados activos'!$A$2:$I$225)</f>
        <v>0</v>
      </c>
      <c r="D67" s="68" cm="1">
        <f t="array" ref="D67">ProyBeneficioMuertePensionados($D$3, A67,  Hombres!$A$1:$DW$117, Mujeres!$A$1:$DW$117, Pensionados!$A$2:$G$166,'Empleados activos'!$A$2:$I$225)</f>
        <v>7464129.0097512547</v>
      </c>
      <c r="E67" s="64" cm="1">
        <f t="array" ref="E67">ProyBeneficioMuertePensionados($E$3, A67,  Hombres!$A$1:$DW$117, Mujeres!$A$1:$DW$117, Pensionados!$A$2:$G$166,'Empleados activos'!$A$2:$I$225)</f>
        <v>9544109.2605844811</v>
      </c>
      <c r="F67" s="71">
        <f t="shared" si="0"/>
        <v>17008238.270335734</v>
      </c>
    </row>
    <row r="68" spans="1:6" x14ac:dyDescent="0.35">
      <c r="A68" s="59">
        <v>2089</v>
      </c>
      <c r="B68" s="63" cm="1">
        <f t="array" ref="B68">ProyBeneficioMuerteActivos($D$3, A68,  Hombres!$A$1:$DW$117, Mujeres!$A$1:$DW$117, Pensionados!$A$2:$G$166,'Empleados activos'!$A$2:$I$225)</f>
        <v>0</v>
      </c>
      <c r="C68" s="64" cm="1">
        <f t="array" ref="C68">ProyBeneficioMuerteActivos($E$3, A68,  Hombres!$A$1:$DW$117, Mujeres!$A$1:$DW$117, Pensionados!$A$2:$G$166,'Empleados activos'!$A$2:$I$225)</f>
        <v>0</v>
      </c>
      <c r="D68" s="68" cm="1">
        <f t="array" ref="D68">ProyBeneficioMuertePensionados($D$3, A68,  Hombres!$A$1:$DW$117, Mujeres!$A$1:$DW$117, Pensionados!$A$2:$G$166,'Empleados activos'!$A$2:$I$225)</f>
        <v>7104907.6150448257</v>
      </c>
      <c r="E68" s="64" cm="1">
        <f t="array" ref="E68">ProyBeneficioMuertePensionados($E$3, A68,  Hombres!$A$1:$DW$117, Mujeres!$A$1:$DW$117, Pensionados!$A$2:$G$166,'Empleados activos'!$A$2:$I$225)</f>
        <v>9183723.4047282431</v>
      </c>
      <c r="F68" s="71">
        <f t="shared" si="0"/>
        <v>16288631.01977307</v>
      </c>
    </row>
    <row r="69" spans="1:6" x14ac:dyDescent="0.35">
      <c r="A69" s="59">
        <v>2090</v>
      </c>
      <c r="B69" s="63" cm="1">
        <f t="array" ref="B69">ProyBeneficioMuerteActivos($D$3, A69,  Hombres!$A$1:$DW$117, Mujeres!$A$1:$DW$117, Pensionados!$A$2:$G$166,'Empleados activos'!$A$2:$I$225)</f>
        <v>0</v>
      </c>
      <c r="C69" s="64" cm="1">
        <f t="array" ref="C69">ProyBeneficioMuerteActivos($E$3, A69,  Hombres!$A$1:$DW$117, Mujeres!$A$1:$DW$117, Pensionados!$A$2:$G$166,'Empleados activos'!$A$2:$I$225)</f>
        <v>0</v>
      </c>
      <c r="D69" s="68" cm="1">
        <f t="array" ref="D69">ProyBeneficioMuertePensionados($D$3, A69,  Hombres!$A$1:$DW$117, Mujeres!$A$1:$DW$117, Pensionados!$A$2:$G$166,'Empleados activos'!$A$2:$I$225)</f>
        <v>6693954.2144274833</v>
      </c>
      <c r="E69" s="64" cm="1">
        <f t="array" ref="E69">ProyBeneficioMuertePensionados($E$3, A69,  Hombres!$A$1:$DW$117, Mujeres!$A$1:$DW$117, Pensionados!$A$2:$G$166,'Empleados activos'!$A$2:$I$225)</f>
        <v>8756311.4999593236</v>
      </c>
      <c r="F69" s="71">
        <f t="shared" ref="F69:F99" si="1">B69+C69+D69+E69</f>
        <v>15450265.714386806</v>
      </c>
    </row>
    <row r="70" spans="1:6" x14ac:dyDescent="0.35">
      <c r="A70" s="59">
        <v>2091</v>
      </c>
      <c r="B70" s="63" cm="1">
        <f t="array" ref="B70">ProyBeneficioMuerteActivos($D$3, A70,  Hombres!$A$1:$DW$117, Mujeres!$A$1:$DW$117, Pensionados!$A$2:$G$166,'Empleados activos'!$A$2:$I$225)</f>
        <v>0</v>
      </c>
      <c r="C70" s="64" cm="1">
        <f t="array" ref="C70">ProyBeneficioMuerteActivos($E$3, A70,  Hombres!$A$1:$DW$117, Mujeres!$A$1:$DW$117, Pensionados!$A$2:$G$166,'Empleados activos'!$A$2:$I$225)</f>
        <v>0</v>
      </c>
      <c r="D70" s="68" cm="1">
        <f t="array" ref="D70">ProyBeneficioMuertePensionados($D$3, A70,  Hombres!$A$1:$DW$117, Mujeres!$A$1:$DW$117, Pensionados!$A$2:$G$166,'Empleados activos'!$A$2:$I$225)</f>
        <v>6240437.5361366654</v>
      </c>
      <c r="E70" s="64" cm="1">
        <f t="array" ref="E70">ProyBeneficioMuertePensionados($E$3, A70,  Hombres!$A$1:$DW$117, Mujeres!$A$1:$DW$117, Pensionados!$A$2:$G$166,'Empleados activos'!$A$2:$I$225)</f>
        <v>8268920.5614732848</v>
      </c>
      <c r="F70" s="71">
        <f t="shared" si="1"/>
        <v>14509358.09760995</v>
      </c>
    </row>
    <row r="71" spans="1:6" x14ac:dyDescent="0.35">
      <c r="A71" s="59">
        <v>2092</v>
      </c>
      <c r="B71" s="63" cm="1">
        <f t="array" ref="B71">ProyBeneficioMuerteActivos($D$3, A71,  Hombres!$A$1:$DW$117, Mujeres!$A$1:$DW$117, Pensionados!$A$2:$G$166,'Empleados activos'!$A$2:$I$225)</f>
        <v>0</v>
      </c>
      <c r="C71" s="64" cm="1">
        <f t="array" ref="C71">ProyBeneficioMuerteActivos($E$3, A71,  Hombres!$A$1:$DW$117, Mujeres!$A$1:$DW$117, Pensionados!$A$2:$G$166,'Empleados activos'!$A$2:$I$225)</f>
        <v>0</v>
      </c>
      <c r="D71" s="68" cm="1">
        <f t="array" ref="D71">ProyBeneficioMuertePensionados($D$3, A71,  Hombres!$A$1:$DW$117, Mujeres!$A$1:$DW$117, Pensionados!$A$2:$G$166,'Empleados activos'!$A$2:$I$225)</f>
        <v>5756053.762159219</v>
      </c>
      <c r="E71" s="64" cm="1">
        <f t="array" ref="E71">ProyBeneficioMuertePensionados($E$3, A71,  Hombres!$A$1:$DW$117, Mujeres!$A$1:$DW$117, Pensionados!$A$2:$G$166,'Empleados activos'!$A$2:$I$225)</f>
        <v>7731049.414993193</v>
      </c>
      <c r="F71" s="71">
        <f t="shared" si="1"/>
        <v>13487103.177152412</v>
      </c>
    </row>
    <row r="72" spans="1:6" x14ac:dyDescent="0.35">
      <c r="A72" s="59">
        <v>2093</v>
      </c>
      <c r="B72" s="63" cm="1">
        <f t="array" ref="B72">ProyBeneficioMuerteActivos($D$3, A72,  Hombres!$A$1:$DW$117, Mujeres!$A$1:$DW$117, Pensionados!$A$2:$G$166,'Empleados activos'!$A$2:$I$225)</f>
        <v>0</v>
      </c>
      <c r="C72" s="64" cm="1">
        <f t="array" ref="C72">ProyBeneficioMuerteActivos($E$3, A72,  Hombres!$A$1:$DW$117, Mujeres!$A$1:$DW$117, Pensionados!$A$2:$G$166,'Empleados activos'!$A$2:$I$225)</f>
        <v>0</v>
      </c>
      <c r="D72" s="68" cm="1">
        <f t="array" ref="D72">ProyBeneficioMuertePensionados($D$3, A72,  Hombres!$A$1:$DW$117, Mujeres!$A$1:$DW$117, Pensionados!$A$2:$G$166,'Empleados activos'!$A$2:$I$225)</f>
        <v>5250844.732439111</v>
      </c>
      <c r="E72" s="64" cm="1">
        <f t="array" ref="E72">ProyBeneficioMuertePensionados($E$3, A72,  Hombres!$A$1:$DW$117, Mujeres!$A$1:$DW$117, Pensionados!$A$2:$G$166,'Empleados activos'!$A$2:$I$225)</f>
        <v>7149762.1482471842</v>
      </c>
      <c r="F72" s="71">
        <f t="shared" si="1"/>
        <v>12400606.880686294</v>
      </c>
    </row>
    <row r="73" spans="1:6" x14ac:dyDescent="0.35">
      <c r="A73" s="59">
        <v>2094</v>
      </c>
      <c r="B73" s="63" cm="1">
        <f t="array" ref="B73">ProyBeneficioMuerteActivos($D$3, A73,  Hombres!$A$1:$DW$117, Mujeres!$A$1:$DW$117, Pensionados!$A$2:$G$166,'Empleados activos'!$A$2:$I$225)</f>
        <v>0</v>
      </c>
      <c r="C73" s="64" cm="1">
        <f t="array" ref="C73">ProyBeneficioMuerteActivos($E$3, A73,  Hombres!$A$1:$DW$117, Mujeres!$A$1:$DW$117, Pensionados!$A$2:$G$166,'Empleados activos'!$A$2:$I$225)</f>
        <v>0</v>
      </c>
      <c r="D73" s="68" cm="1">
        <f t="array" ref="D73">ProyBeneficioMuertePensionados($D$3, A73,  Hombres!$A$1:$DW$117, Mujeres!$A$1:$DW$117, Pensionados!$A$2:$G$166,'Empleados activos'!$A$2:$I$225)</f>
        <v>4732992.2620449457</v>
      </c>
      <c r="E73" s="64" cm="1">
        <f t="array" ref="E73">ProyBeneficioMuertePensionados($E$3, A73,  Hombres!$A$1:$DW$117, Mujeres!$A$1:$DW$117, Pensionados!$A$2:$G$166,'Empleados activos'!$A$2:$I$225)</f>
        <v>6530360.8453313475</v>
      </c>
      <c r="F73" s="71">
        <f t="shared" si="1"/>
        <v>11263353.107376292</v>
      </c>
    </row>
    <row r="74" spans="1:6" x14ac:dyDescent="0.35">
      <c r="A74" s="59">
        <v>2095</v>
      </c>
      <c r="B74" s="63" cm="1">
        <f t="array" ref="B74">ProyBeneficioMuerteActivos($D$3, A74,  Hombres!$A$1:$DW$117, Mujeres!$A$1:$DW$117, Pensionados!$A$2:$G$166,'Empleados activos'!$A$2:$I$225)</f>
        <v>0</v>
      </c>
      <c r="C74" s="64" cm="1">
        <f t="array" ref="C74">ProyBeneficioMuerteActivos($E$3, A74,  Hombres!$A$1:$DW$117, Mujeres!$A$1:$DW$117, Pensionados!$A$2:$G$166,'Empleados activos'!$A$2:$I$225)</f>
        <v>0</v>
      </c>
      <c r="D74" s="68" cm="1">
        <f t="array" ref="D74">ProyBeneficioMuertePensionados($D$3, A74,  Hombres!$A$1:$DW$117, Mujeres!$A$1:$DW$117, Pensionados!$A$2:$G$166,'Empleados activos'!$A$2:$I$225)</f>
        <v>4213437.3577484945</v>
      </c>
      <c r="E74" s="64" cm="1">
        <f t="array" ref="E74">ProyBeneficioMuertePensionados($E$3, A74,  Hombres!$A$1:$DW$117, Mujeres!$A$1:$DW$117, Pensionados!$A$2:$G$166,'Empleados activos'!$A$2:$I$225)</f>
        <v>5882542.2365330542</v>
      </c>
      <c r="F74" s="71">
        <f t="shared" si="1"/>
        <v>10095979.594281549</v>
      </c>
    </row>
    <row r="75" spans="1:6" x14ac:dyDescent="0.35">
      <c r="A75" s="59">
        <v>2096</v>
      </c>
      <c r="B75" s="63" cm="1">
        <f t="array" ref="B75">ProyBeneficioMuerteActivos($D$3, A75,  Hombres!$A$1:$DW$117, Mujeres!$A$1:$DW$117, Pensionados!$A$2:$G$166,'Empleados activos'!$A$2:$I$225)</f>
        <v>0</v>
      </c>
      <c r="C75" s="64" cm="1">
        <f t="array" ref="C75">ProyBeneficioMuerteActivos($E$3, A75,  Hombres!$A$1:$DW$117, Mujeres!$A$1:$DW$117, Pensionados!$A$2:$G$166,'Empleados activos'!$A$2:$I$225)</f>
        <v>0</v>
      </c>
      <c r="D75" s="68" cm="1">
        <f t="array" ref="D75">ProyBeneficioMuertePensionados($D$3, A75,  Hombres!$A$1:$DW$117, Mujeres!$A$1:$DW$117, Pensionados!$A$2:$G$166,'Empleados activos'!$A$2:$I$225)</f>
        <v>3705840.8495752141</v>
      </c>
      <c r="E75" s="64" cm="1">
        <f t="array" ref="E75">ProyBeneficioMuertePensionados($E$3, A75,  Hombres!$A$1:$DW$117, Mujeres!$A$1:$DW$117, Pensionados!$A$2:$G$166,'Empleados activos'!$A$2:$I$225)</f>
        <v>5221408.0327338511</v>
      </c>
      <c r="F75" s="71">
        <f t="shared" si="1"/>
        <v>8927248.8823090643</v>
      </c>
    </row>
    <row r="76" spans="1:6" x14ac:dyDescent="0.35">
      <c r="A76" s="59">
        <v>2097</v>
      </c>
      <c r="B76" s="63" cm="1">
        <f t="array" ref="B76">ProyBeneficioMuerteActivos($D$3, A76,  Hombres!$A$1:$DW$117, Mujeres!$A$1:$DW$117, Pensionados!$A$2:$G$166,'Empleados activos'!$A$2:$I$225)</f>
        <v>0</v>
      </c>
      <c r="C76" s="64" cm="1">
        <f t="array" ref="C76">ProyBeneficioMuerteActivos($E$3, A76,  Hombres!$A$1:$DW$117, Mujeres!$A$1:$DW$117, Pensionados!$A$2:$G$166,'Empleados activos'!$A$2:$I$225)</f>
        <v>0</v>
      </c>
      <c r="D76" s="68" cm="1">
        <f t="array" ref="D76">ProyBeneficioMuertePensionados($D$3, A76,  Hombres!$A$1:$DW$117, Mujeres!$A$1:$DW$117, Pensionados!$A$2:$G$166,'Empleados activos'!$A$2:$I$225)</f>
        <v>3222282.3656502143</v>
      </c>
      <c r="E76" s="64" cm="1">
        <f t="array" ref="E76">ProyBeneficioMuertePensionados($E$3, A76,  Hombres!$A$1:$DW$117, Mujeres!$A$1:$DW$117, Pensionados!$A$2:$G$166,'Empleados activos'!$A$2:$I$225)</f>
        <v>4562726.561664951</v>
      </c>
      <c r="F76" s="71">
        <f t="shared" si="1"/>
        <v>7785008.9273151653</v>
      </c>
    </row>
    <row r="77" spans="1:6" x14ac:dyDescent="0.35">
      <c r="A77" s="59">
        <v>2098</v>
      </c>
      <c r="B77" s="63" cm="1">
        <f t="array" ref="B77">ProyBeneficioMuerteActivos($D$3, A77,  Hombres!$A$1:$DW$117, Mujeres!$A$1:$DW$117, Pensionados!$A$2:$G$166,'Empleados activos'!$A$2:$I$225)</f>
        <v>0</v>
      </c>
      <c r="C77" s="64" cm="1">
        <f t="array" ref="C77">ProyBeneficioMuerteActivos($E$3, A77,  Hombres!$A$1:$DW$117, Mujeres!$A$1:$DW$117, Pensionados!$A$2:$G$166,'Empleados activos'!$A$2:$I$225)</f>
        <v>0</v>
      </c>
      <c r="D77" s="68" cm="1">
        <f t="array" ref="D77">ProyBeneficioMuertePensionados($D$3, A77,  Hombres!$A$1:$DW$117, Mujeres!$A$1:$DW$117, Pensionados!$A$2:$G$166,'Empleados activos'!$A$2:$I$225)</f>
        <v>2770372.1522949943</v>
      </c>
      <c r="E77" s="64" cm="1">
        <f t="array" ref="E77">ProyBeneficioMuertePensionados($E$3, A77,  Hombres!$A$1:$DW$117, Mujeres!$A$1:$DW$117, Pensionados!$A$2:$G$166,'Empleados activos'!$A$2:$I$225)</f>
        <v>3920159.9726739121</v>
      </c>
      <c r="F77" s="71">
        <f t="shared" si="1"/>
        <v>6690532.1249689069</v>
      </c>
    </row>
    <row r="78" spans="1:6" x14ac:dyDescent="0.35">
      <c r="A78" s="59">
        <v>2099</v>
      </c>
      <c r="B78" s="63" cm="1">
        <f t="array" ref="B78">ProyBeneficioMuerteActivos($D$3, A78,  Hombres!$A$1:$DW$117, Mujeres!$A$1:$DW$117, Pensionados!$A$2:$G$166,'Empleados activos'!$A$2:$I$225)</f>
        <v>0</v>
      </c>
      <c r="C78" s="64" cm="1">
        <f t="array" ref="C78">ProyBeneficioMuerteActivos($E$3, A78,  Hombres!$A$1:$DW$117, Mujeres!$A$1:$DW$117, Pensionados!$A$2:$G$166,'Empleados activos'!$A$2:$I$225)</f>
        <v>0</v>
      </c>
      <c r="D78" s="68" cm="1">
        <f t="array" ref="D78">ProyBeneficioMuertePensionados($D$3, A78,  Hombres!$A$1:$DW$117, Mujeres!$A$1:$DW$117, Pensionados!$A$2:$G$166,'Empleados activos'!$A$2:$I$225)</f>
        <v>2353968.892257642</v>
      </c>
      <c r="E78" s="64" cm="1">
        <f t="array" ref="E78">ProyBeneficioMuertePensionados($E$3, A78,  Hombres!$A$1:$DW$117, Mujeres!$A$1:$DW$117, Pensionados!$A$2:$G$166,'Empleados activos'!$A$2:$I$225)</f>
        <v>3305547.9649428572</v>
      </c>
      <c r="F78" s="71">
        <f t="shared" si="1"/>
        <v>5659516.8572004996</v>
      </c>
    </row>
    <row r="79" spans="1:6" x14ac:dyDescent="0.35">
      <c r="A79" s="59">
        <v>2100</v>
      </c>
      <c r="B79" s="63" cm="1">
        <f t="array" ref="B79">ProyBeneficioMuerteActivos($D$3, A79,  Hombres!$A$1:$DW$117, Mujeres!$A$1:$DW$117, Pensionados!$A$2:$G$166,'Empleados activos'!$A$2:$I$225)</f>
        <v>0</v>
      </c>
      <c r="C79" s="64" cm="1">
        <f t="array" ref="C79">ProyBeneficioMuerteActivos($E$3, A79,  Hombres!$A$1:$DW$117, Mujeres!$A$1:$DW$117, Pensionados!$A$2:$G$166,'Empleados activos'!$A$2:$I$225)</f>
        <v>0</v>
      </c>
      <c r="D79" s="68" cm="1">
        <f t="array" ref="D79">ProyBeneficioMuertePensionados($D$3, A79,  Hombres!$A$1:$DW$117, Mujeres!$A$1:$DW$117, Pensionados!$A$2:$G$166,'Empleados activos'!$A$2:$I$225)</f>
        <v>1975380.7744415877</v>
      </c>
      <c r="E79" s="64" cm="1">
        <f t="array" ref="E79">ProyBeneficioMuertePensionados($E$3, A79,  Hombres!$A$1:$DW$117, Mujeres!$A$1:$DW$117, Pensionados!$A$2:$G$166,'Empleados activos'!$A$2:$I$225)</f>
        <v>2730885.9613124621</v>
      </c>
      <c r="F79" s="71">
        <f t="shared" si="1"/>
        <v>4706266.7357540503</v>
      </c>
    </row>
    <row r="80" spans="1:6" x14ac:dyDescent="0.35">
      <c r="A80" s="59">
        <v>2101</v>
      </c>
      <c r="B80" s="63" cm="1">
        <f t="array" ref="B80">ProyBeneficioMuerteActivos($D$3, A80,  Hombres!$A$1:$DW$117, Mujeres!$A$1:$DW$117, Pensionados!$A$2:$G$166,'Empleados activos'!$A$2:$I$225)</f>
        <v>0</v>
      </c>
      <c r="C80" s="64" cm="1">
        <f t="array" ref="C80">ProyBeneficioMuerteActivos($E$3, A80,  Hombres!$A$1:$DW$117, Mujeres!$A$1:$DW$117, Pensionados!$A$2:$G$166,'Empleados activos'!$A$2:$I$225)</f>
        <v>0</v>
      </c>
      <c r="D80" s="68" cm="1">
        <f t="array" ref="D80">ProyBeneficioMuertePensionados($D$3, A80,  Hombres!$A$1:$DW$117, Mujeres!$A$1:$DW$117, Pensionados!$A$2:$G$166,'Empleados activos'!$A$2:$I$225)</f>
        <v>1636298.6736995948</v>
      </c>
      <c r="E80" s="64" cm="1">
        <f t="array" ref="E80">ProyBeneficioMuertePensionados($E$3, A80,  Hombres!$A$1:$DW$117, Mujeres!$A$1:$DW$117, Pensionados!$A$2:$G$166,'Empleados activos'!$A$2:$I$225)</f>
        <v>2207305.4895634777</v>
      </c>
      <c r="F80" s="71">
        <f t="shared" si="1"/>
        <v>3843604.1632630723</v>
      </c>
    </row>
    <row r="81" spans="1:6" x14ac:dyDescent="0.35">
      <c r="A81" s="59">
        <v>2102</v>
      </c>
      <c r="B81" s="63" cm="1">
        <f t="array" ref="B81">ProyBeneficioMuerteActivos($D$3, A81,  Hombres!$A$1:$DW$117, Mujeres!$A$1:$DW$117, Pensionados!$A$2:$G$166,'Empleados activos'!$A$2:$I$225)</f>
        <v>0</v>
      </c>
      <c r="C81" s="64" cm="1">
        <f t="array" ref="C81">ProyBeneficioMuerteActivos($E$3, A81,  Hombres!$A$1:$DW$117, Mujeres!$A$1:$DW$117, Pensionados!$A$2:$G$166,'Empleados activos'!$A$2:$I$225)</f>
        <v>0</v>
      </c>
      <c r="D81" s="68" cm="1">
        <f t="array" ref="D81">ProyBeneficioMuertePensionados($D$3, A81,  Hombres!$A$1:$DW$117, Mujeres!$A$1:$DW$117, Pensionados!$A$2:$G$166,'Empleados activos'!$A$2:$I$225)</f>
        <v>1336643.6470981638</v>
      </c>
      <c r="E81" s="64" cm="1">
        <f t="array" ref="E81">ProyBeneficioMuertePensionados($E$3, A81,  Hombres!$A$1:$DW$117, Mujeres!$A$1:$DW$117, Pensionados!$A$2:$G$166,'Empleados activos'!$A$2:$I$225)</f>
        <v>1742382.4270652137</v>
      </c>
      <c r="F81" s="71">
        <f t="shared" si="1"/>
        <v>3079026.0741633773</v>
      </c>
    </row>
    <row r="82" spans="1:6" x14ac:dyDescent="0.35">
      <c r="A82" s="59">
        <v>2103</v>
      </c>
      <c r="B82" s="63" cm="1">
        <f t="array" ref="B82">ProyBeneficioMuerteActivos($D$3, A82,  Hombres!$A$1:$DW$117, Mujeres!$A$1:$DW$117, Pensionados!$A$2:$G$166,'Empleados activos'!$A$2:$I$225)</f>
        <v>0</v>
      </c>
      <c r="C82" s="64" cm="1">
        <f t="array" ref="C82">ProyBeneficioMuerteActivos($E$3, A82,  Hombres!$A$1:$DW$117, Mujeres!$A$1:$DW$117, Pensionados!$A$2:$G$166,'Empleados activos'!$A$2:$I$225)</f>
        <v>0</v>
      </c>
      <c r="D82" s="68" cm="1">
        <f t="array" ref="D82">ProyBeneficioMuertePensionados($D$3, A82,  Hombres!$A$1:$DW$117, Mujeres!$A$1:$DW$117, Pensionados!$A$2:$G$166,'Empleados activos'!$A$2:$I$225)</f>
        <v>1074642.4446656273</v>
      </c>
      <c r="E82" s="64" cm="1">
        <f t="array" ref="E82">ProyBeneficioMuertePensionados($E$3, A82,  Hombres!$A$1:$DW$117, Mujeres!$A$1:$DW$117, Pensionados!$A$2:$G$166,'Empleados activos'!$A$2:$I$225)</f>
        <v>1339456.2816772284</v>
      </c>
      <c r="F82" s="71">
        <f t="shared" si="1"/>
        <v>2414098.726342856</v>
      </c>
    </row>
    <row r="83" spans="1:6" x14ac:dyDescent="0.35">
      <c r="A83" s="59">
        <v>2104</v>
      </c>
      <c r="B83" s="63" cm="1">
        <f t="array" ref="B83">ProyBeneficioMuerteActivos($D$3, A83,  Hombres!$A$1:$DW$117, Mujeres!$A$1:$DW$117, Pensionados!$A$2:$G$166,'Empleados activos'!$A$2:$I$225)</f>
        <v>0</v>
      </c>
      <c r="C83" s="64" cm="1">
        <f t="array" ref="C83">ProyBeneficioMuerteActivos($E$3, A83,  Hombres!$A$1:$DW$117, Mujeres!$A$1:$DW$117, Pensionados!$A$2:$G$166,'Empleados activos'!$A$2:$I$225)</f>
        <v>0</v>
      </c>
      <c r="D83" s="68" cm="1">
        <f t="array" ref="D83">ProyBeneficioMuertePensionados($D$3, A83,  Hombres!$A$1:$DW$117, Mujeres!$A$1:$DW$117, Pensionados!$A$2:$G$166,'Empleados activos'!$A$2:$I$225)</f>
        <v>847793.55862626887</v>
      </c>
      <c r="E83" s="64" cm="1">
        <f t="array" ref="E83">ProyBeneficioMuertePensionados($E$3, A83,  Hombres!$A$1:$DW$117, Mujeres!$A$1:$DW$117, Pensionados!$A$2:$G$166,'Empleados activos'!$A$2:$I$225)</f>
        <v>998683.89839776244</v>
      </c>
      <c r="F83" s="71">
        <f t="shared" si="1"/>
        <v>1846477.4570240313</v>
      </c>
    </row>
    <row r="84" spans="1:6" x14ac:dyDescent="0.35">
      <c r="A84" s="59">
        <v>2105</v>
      </c>
      <c r="B84" s="63" cm="1">
        <f t="array" ref="B84">ProyBeneficioMuerteActivos($D$3, A84,  Hombres!$A$1:$DW$117, Mujeres!$A$1:$DW$117, Pensionados!$A$2:$G$166,'Empleados activos'!$A$2:$I$225)</f>
        <v>0</v>
      </c>
      <c r="C84" s="64" cm="1">
        <f t="array" ref="C84">ProyBeneficioMuerteActivos($E$3, A84,  Hombres!$A$1:$DW$117, Mujeres!$A$1:$DW$117, Pensionados!$A$2:$G$166,'Empleados activos'!$A$2:$I$225)</f>
        <v>0</v>
      </c>
      <c r="D84" s="68" cm="1">
        <f t="array" ref="D84">ProyBeneficioMuertePensionados($D$3, A84,  Hombres!$A$1:$DW$117, Mujeres!$A$1:$DW$117, Pensionados!$A$2:$G$166,'Empleados activos'!$A$2:$I$225)</f>
        <v>654193.58438597096</v>
      </c>
      <c r="E84" s="64" cm="1">
        <f t="array" ref="E84">ProyBeneficioMuertePensionados($E$3, A84,  Hombres!$A$1:$DW$117, Mujeres!$A$1:$DW$117, Pensionados!$A$2:$G$166,'Empleados activos'!$A$2:$I$225)</f>
        <v>718435.7326672856</v>
      </c>
      <c r="F84" s="71">
        <f t="shared" si="1"/>
        <v>1372629.3170532566</v>
      </c>
    </row>
    <row r="85" spans="1:6" x14ac:dyDescent="0.35">
      <c r="A85" s="59">
        <v>2106</v>
      </c>
      <c r="B85" s="63" cm="1">
        <f t="array" ref="B85">ProyBeneficioMuerteActivos($D$3, A85,  Hombres!$A$1:$DW$117, Mujeres!$A$1:$DW$117, Pensionados!$A$2:$G$166,'Empleados activos'!$A$2:$I$225)</f>
        <v>0</v>
      </c>
      <c r="C85" s="64" cm="1">
        <f t="array" ref="C85">ProyBeneficioMuerteActivos($E$3, A85,  Hombres!$A$1:$DW$117, Mujeres!$A$1:$DW$117, Pensionados!$A$2:$G$166,'Empleados activos'!$A$2:$I$225)</f>
        <v>0</v>
      </c>
      <c r="D85" s="68" cm="1">
        <f t="array" ref="D85">ProyBeneficioMuertePensionados($D$3, A85,  Hombres!$A$1:$DW$117, Mujeres!$A$1:$DW$117, Pensionados!$A$2:$G$166,'Empleados activos'!$A$2:$I$225)</f>
        <v>492266.79927487578</v>
      </c>
      <c r="E85" s="64" cm="1">
        <f t="array" ref="E85">ProyBeneficioMuertePensionados($E$3, A85,  Hombres!$A$1:$DW$117, Mujeres!$A$1:$DW$117, Pensionados!$A$2:$G$166,'Empleados activos'!$A$2:$I$225)</f>
        <v>495592.61202776112</v>
      </c>
      <c r="F85" s="71">
        <f t="shared" si="1"/>
        <v>987859.41130263684</v>
      </c>
    </row>
    <row r="86" spans="1:6" x14ac:dyDescent="0.35">
      <c r="A86" s="59">
        <v>2107</v>
      </c>
      <c r="B86" s="63" cm="1">
        <f t="array" ref="B86">ProyBeneficioMuerteActivos($D$3, A86,  Hombres!$A$1:$DW$117, Mujeres!$A$1:$DW$117, Pensionados!$A$2:$G$166,'Empleados activos'!$A$2:$I$225)</f>
        <v>0</v>
      </c>
      <c r="C86" s="64" cm="1">
        <f t="array" ref="C86">ProyBeneficioMuerteActivos($E$3, A86,  Hombres!$A$1:$DW$117, Mujeres!$A$1:$DW$117, Pensionados!$A$2:$G$166,'Empleados activos'!$A$2:$I$225)</f>
        <v>0</v>
      </c>
      <c r="D86" s="68" cm="1">
        <f t="array" ref="D86">ProyBeneficioMuertePensionados($D$3, A86,  Hombres!$A$1:$DW$117, Mujeres!$A$1:$DW$117, Pensionados!$A$2:$G$166,'Empleados activos'!$A$2:$I$225)</f>
        <v>360166.66439665348</v>
      </c>
      <c r="E86" s="64" cm="1">
        <f t="array" ref="E86">ProyBeneficioMuertePensionados($E$3, A86,  Hombres!$A$1:$DW$117, Mujeres!$A$1:$DW$117, Pensionados!$A$2:$G$166,'Empleados activos'!$A$2:$I$225)</f>
        <v>325325.74769164075</v>
      </c>
      <c r="F86" s="71">
        <f t="shared" si="1"/>
        <v>685492.41208829428</v>
      </c>
    </row>
    <row r="87" spans="1:6" x14ac:dyDescent="0.35">
      <c r="A87" s="59">
        <v>2108</v>
      </c>
      <c r="B87" s="63" cm="1">
        <f t="array" ref="B87">ProyBeneficioMuerteActivos($D$3, A87,  Hombres!$A$1:$DW$117, Mujeres!$A$1:$DW$117, Pensionados!$A$2:$G$166,'Empleados activos'!$A$2:$I$225)</f>
        <v>0</v>
      </c>
      <c r="C87" s="64" cm="1">
        <f t="array" ref="C87">ProyBeneficioMuerteActivos($E$3, A87,  Hombres!$A$1:$DW$117, Mujeres!$A$1:$DW$117, Pensionados!$A$2:$G$166,'Empleados activos'!$A$2:$I$225)</f>
        <v>0</v>
      </c>
      <c r="D87" s="68" cm="1">
        <f t="array" ref="D87">ProyBeneficioMuertePensionados($D$3, A87,  Hombres!$A$1:$DW$117, Mujeres!$A$1:$DW$117, Pensionados!$A$2:$G$166,'Empleados activos'!$A$2:$I$225)</f>
        <v>255256.82674358285</v>
      </c>
      <c r="E87" s="64" cm="1">
        <f t="array" ref="E87">ProyBeneficioMuertePensionados($E$3, A87,  Hombres!$A$1:$DW$117, Mujeres!$A$1:$DW$117, Pensionados!$A$2:$G$166,'Empleados activos'!$A$2:$I$225)</f>
        <v>201274.46088131395</v>
      </c>
      <c r="F87" s="71">
        <f t="shared" si="1"/>
        <v>456531.2876248968</v>
      </c>
    </row>
    <row r="88" spans="1:6" x14ac:dyDescent="0.35">
      <c r="A88" s="59">
        <v>2109</v>
      </c>
      <c r="B88" s="63" cm="1">
        <f t="array" ref="B88">ProyBeneficioMuerteActivos($D$3, A88,  Hombres!$A$1:$DW$117, Mujeres!$A$1:$DW$117, Pensionados!$A$2:$G$166,'Empleados activos'!$A$2:$I$225)</f>
        <v>0</v>
      </c>
      <c r="C88" s="64" cm="1">
        <f t="array" ref="C88">ProyBeneficioMuerteActivos($E$3, A88,  Hombres!$A$1:$DW$117, Mujeres!$A$1:$DW$117, Pensionados!$A$2:$G$166,'Empleados activos'!$A$2:$I$225)</f>
        <v>0</v>
      </c>
      <c r="D88" s="68" cm="1">
        <f t="array" ref="D88">ProyBeneficioMuertePensionados($D$3, A88,  Hombres!$A$1:$DW$117, Mujeres!$A$1:$DW$117, Pensionados!$A$2:$G$166,'Empleados activos'!$A$2:$I$225)</f>
        <v>174615.22524948843</v>
      </c>
      <c r="E88" s="64" cm="1">
        <f t="array" ref="E88">ProyBeneficioMuertePensionados($E$3, A88,  Hombres!$A$1:$DW$117, Mujeres!$A$1:$DW$117, Pensionados!$A$2:$G$166,'Empleados activos'!$A$2:$I$225)</f>
        <v>115971.72159272025</v>
      </c>
      <c r="F88" s="71">
        <f t="shared" si="1"/>
        <v>290586.94684220868</v>
      </c>
    </row>
    <row r="89" spans="1:6" x14ac:dyDescent="0.35">
      <c r="A89" s="59">
        <v>2110</v>
      </c>
      <c r="B89" s="63" cm="1">
        <f t="array" ref="B89">ProyBeneficioMuerteActivos($D$3, A89,  Hombres!$A$1:$DW$117, Mujeres!$A$1:$DW$117, Pensionados!$A$2:$G$166,'Empleados activos'!$A$2:$I$225)</f>
        <v>0</v>
      </c>
      <c r="C89" s="64" cm="1">
        <f t="array" ref="C89">ProyBeneficioMuerteActivos($E$3, A89,  Hombres!$A$1:$DW$117, Mujeres!$A$1:$DW$117, Pensionados!$A$2:$G$166,'Empleados activos'!$A$2:$I$225)</f>
        <v>0</v>
      </c>
      <c r="D89" s="68" cm="1">
        <f t="array" ref="D89">ProyBeneficioMuertePensionados($D$3, A89,  Hombres!$A$1:$DW$117, Mujeres!$A$1:$DW$117, Pensionados!$A$2:$G$166,'Empleados activos'!$A$2:$I$225)</f>
        <v>114756.9477844678</v>
      </c>
      <c r="E89" s="64" cm="1">
        <f t="array" ref="E89">ProyBeneficioMuertePensionados($E$3, A89,  Hombres!$A$1:$DW$117, Mujeres!$A$1:$DW$117, Pensionados!$A$2:$G$166,'Empleados activos'!$A$2:$I$225)</f>
        <v>61340.025382145424</v>
      </c>
      <c r="F89" s="71">
        <f t="shared" si="1"/>
        <v>176096.97316661323</v>
      </c>
    </row>
    <row r="90" spans="1:6" x14ac:dyDescent="0.35">
      <c r="A90" s="59">
        <v>2111</v>
      </c>
      <c r="B90" s="63" cm="1">
        <f t="array" ref="B90">ProyBeneficioMuerteActivos($D$3, A90,  Hombres!$A$1:$DW$117, Mujeres!$A$1:$DW$117, Pensionados!$A$2:$G$166,'Empleados activos'!$A$2:$I$225)</f>
        <v>0</v>
      </c>
      <c r="C90" s="64" cm="1">
        <f t="array" ref="C90">ProyBeneficioMuerteActivos($E$3, A90,  Hombres!$A$1:$DW$117, Mujeres!$A$1:$DW$117, Pensionados!$A$2:$G$166,'Empleados activos'!$A$2:$I$225)</f>
        <v>0</v>
      </c>
      <c r="D90" s="68" cm="1">
        <f t="array" ref="D90">ProyBeneficioMuertePensionados($D$3, A90,  Hombres!$A$1:$DW$117, Mujeres!$A$1:$DW$117, Pensionados!$A$2:$G$166,'Empleados activos'!$A$2:$I$225)</f>
        <v>72107.773822961695</v>
      </c>
      <c r="E90" s="64" cm="1">
        <f t="array" ref="E90">ProyBeneficioMuertePensionados($E$3, A90,  Hombres!$A$1:$DW$117, Mujeres!$A$1:$DW$117, Pensionados!$A$2:$G$166,'Empleados activos'!$A$2:$I$225)</f>
        <v>29260.783744963748</v>
      </c>
      <c r="F90" s="71">
        <f t="shared" si="1"/>
        <v>101368.55756792544</v>
      </c>
    </row>
    <row r="91" spans="1:6" x14ac:dyDescent="0.35">
      <c r="A91" s="59">
        <v>2112</v>
      </c>
      <c r="B91" s="63" cm="1">
        <f t="array" ref="B91">ProyBeneficioMuerteActivos($D$3, A91,  Hombres!$A$1:$DW$117, Mujeres!$A$1:$DW$117, Pensionados!$A$2:$G$166,'Empleados activos'!$A$2:$I$225)</f>
        <v>0</v>
      </c>
      <c r="C91" s="64" cm="1">
        <f t="array" ref="C91">ProyBeneficioMuerteActivos($E$3, A91,  Hombres!$A$1:$DW$117, Mujeres!$A$1:$DW$117, Pensionados!$A$2:$G$166,'Empleados activos'!$A$2:$I$225)</f>
        <v>0</v>
      </c>
      <c r="D91" s="68" cm="1">
        <f t="array" ref="D91">ProyBeneficioMuertePensionados($D$3, A91,  Hombres!$A$1:$DW$117, Mujeres!$A$1:$DW$117, Pensionados!$A$2:$G$166,'Empleados activos'!$A$2:$I$225)</f>
        <v>43066.176363620791</v>
      </c>
      <c r="E91" s="64" cm="1">
        <f t="array" ref="E91">ProyBeneficioMuertePensionados($E$3, A91,  Hombres!$A$1:$DW$117, Mujeres!$A$1:$DW$117, Pensionados!$A$2:$G$166,'Empleados activos'!$A$2:$I$225)</f>
        <v>12311.585073129763</v>
      </c>
      <c r="F91" s="71">
        <f t="shared" si="1"/>
        <v>55377.761436750552</v>
      </c>
    </row>
    <row r="92" spans="1:6" x14ac:dyDescent="0.35">
      <c r="A92" s="59">
        <v>2113</v>
      </c>
      <c r="B92" s="63" cm="1">
        <f t="array" ref="B92">ProyBeneficioMuerteActivos($D$3, A92,  Hombres!$A$1:$DW$117, Mujeres!$A$1:$DW$117, Pensionados!$A$2:$G$166,'Empleados activos'!$A$2:$I$225)</f>
        <v>0</v>
      </c>
      <c r="C92" s="64" cm="1">
        <f t="array" ref="C92">ProyBeneficioMuerteActivos($E$3, A92,  Hombres!$A$1:$DW$117, Mujeres!$A$1:$DW$117, Pensionados!$A$2:$G$166,'Empleados activos'!$A$2:$I$225)</f>
        <v>0</v>
      </c>
      <c r="D92" s="68" cm="1">
        <f t="array" ref="D92">ProyBeneficioMuertePensionados($D$3, A92,  Hombres!$A$1:$DW$117, Mujeres!$A$1:$DW$117, Pensionados!$A$2:$G$166,'Empleados activos'!$A$2:$I$225)</f>
        <v>24283.105563182056</v>
      </c>
      <c r="E92" s="64" cm="1">
        <f t="array" ref="E92">ProyBeneficioMuertePensionados($E$3, A92,  Hombres!$A$1:$DW$117, Mujeres!$A$1:$DW$117, Pensionados!$A$2:$G$166,'Empleados activos'!$A$2:$I$225)</f>
        <v>4437.9039268987017</v>
      </c>
      <c r="F92" s="71">
        <f t="shared" si="1"/>
        <v>28721.00949008076</v>
      </c>
    </row>
    <row r="93" spans="1:6" x14ac:dyDescent="0.35">
      <c r="A93" s="59">
        <v>2114</v>
      </c>
      <c r="B93" s="63" cm="1">
        <f t="array" ref="B93">ProyBeneficioMuerteActivos($D$3, A93,  Hombres!$A$1:$DW$117, Mujeres!$A$1:$DW$117, Pensionados!$A$2:$G$166,'Empleados activos'!$A$2:$I$225)</f>
        <v>0</v>
      </c>
      <c r="C93" s="64" cm="1">
        <f t="array" ref="C93">ProyBeneficioMuerteActivos($E$3, A93,  Hombres!$A$1:$DW$117, Mujeres!$A$1:$DW$117, Pensionados!$A$2:$G$166,'Empleados activos'!$A$2:$I$225)</f>
        <v>0</v>
      </c>
      <c r="D93" s="68" cm="1">
        <f t="array" ref="D93">ProyBeneficioMuertePensionados($D$3, A93,  Hombres!$A$1:$DW$117, Mujeres!$A$1:$DW$117, Pensionados!$A$2:$G$166,'Empleados activos'!$A$2:$I$225)</f>
        <v>12800.027380678925</v>
      </c>
      <c r="E93" s="64" cm="1">
        <f t="array" ref="E93">ProyBeneficioMuertePensionados($E$3, A93,  Hombres!$A$1:$DW$117, Mujeres!$A$1:$DW$117, Pensionados!$A$2:$G$166,'Empleados activos'!$A$2:$I$225)</f>
        <v>1317.7850550447818</v>
      </c>
      <c r="F93" s="71">
        <f t="shared" si="1"/>
        <v>14117.812435723707</v>
      </c>
    </row>
    <row r="94" spans="1:6" x14ac:dyDescent="0.35">
      <c r="A94" s="59">
        <v>2115</v>
      </c>
      <c r="B94" s="63" cm="1">
        <f t="array" ref="B94">ProyBeneficioMuerteActivos($D$3, A94,  Hombres!$A$1:$DW$117, Mujeres!$A$1:$DW$117, Pensionados!$A$2:$G$166,'Empleados activos'!$A$2:$I$225)</f>
        <v>0</v>
      </c>
      <c r="C94" s="64" cm="1">
        <f t="array" ref="C94">ProyBeneficioMuerteActivos($E$3, A94,  Hombres!$A$1:$DW$117, Mujeres!$A$1:$DW$117, Pensionados!$A$2:$G$166,'Empleados activos'!$A$2:$I$225)</f>
        <v>0</v>
      </c>
      <c r="D94" s="68" cm="1">
        <f t="array" ref="D94">ProyBeneficioMuertePensionados($D$3, A94,  Hombres!$A$1:$DW$117, Mujeres!$A$1:$DW$117, Pensionados!$A$2:$G$166,'Empleados activos'!$A$2:$I$225)</f>
        <v>6147.379925508606</v>
      </c>
      <c r="E94" s="64" cm="1">
        <f t="array" ref="E94">ProyBeneficioMuertePensionados($E$3, A94,  Hombres!$A$1:$DW$117, Mujeres!$A$1:$DW$117, Pensionados!$A$2:$G$166,'Empleados activos'!$A$2:$I$225)</f>
        <v>303.7382655557409</v>
      </c>
      <c r="F94" s="71">
        <f t="shared" si="1"/>
        <v>6451.1181910643472</v>
      </c>
    </row>
    <row r="95" spans="1:6" x14ac:dyDescent="0.35">
      <c r="A95" s="59">
        <v>2116</v>
      </c>
      <c r="B95" s="63" cm="1">
        <f t="array" ref="B95">ProyBeneficioMuerteActivos($D$3, A95,  Hombres!$A$1:$DW$117, Mujeres!$A$1:$DW$117, Pensionados!$A$2:$G$166,'Empleados activos'!$A$2:$I$225)</f>
        <v>0</v>
      </c>
      <c r="C95" s="64" cm="1">
        <f t="array" ref="C95">ProyBeneficioMuerteActivos($E$3, A95,  Hombres!$A$1:$DW$117, Mujeres!$A$1:$DW$117, Pensionados!$A$2:$G$166,'Empleados activos'!$A$2:$I$225)</f>
        <v>0</v>
      </c>
      <c r="D95" s="68" cm="1">
        <f t="array" ref="D95">ProyBeneficioMuertePensionados($D$3, A95,  Hombres!$A$1:$DW$117, Mujeres!$A$1:$DW$117, Pensionados!$A$2:$G$166,'Empleados activos'!$A$2:$I$225)</f>
        <v>2708.5794724851826</v>
      </c>
      <c r="E95" s="64" cm="1">
        <f t="array" ref="E95">ProyBeneficioMuertePensionados($E$3, A95,  Hombres!$A$1:$DW$117, Mujeres!$A$1:$DW$117, Pensionados!$A$2:$G$166,'Empleados activos'!$A$2:$I$225)</f>
        <v>49.497156008400133</v>
      </c>
      <c r="F95" s="71">
        <f t="shared" si="1"/>
        <v>2758.0766284935826</v>
      </c>
    </row>
    <row r="96" spans="1:6" x14ac:dyDescent="0.35">
      <c r="A96" s="59">
        <v>2117</v>
      </c>
      <c r="B96" s="63" cm="1">
        <f t="array" ref="B96">ProyBeneficioMuerteActivos($D$3, A96,  Hombres!$A$1:$DW$117, Mujeres!$A$1:$DW$117, Pensionados!$A$2:$G$166,'Empleados activos'!$A$2:$I$225)</f>
        <v>0</v>
      </c>
      <c r="C96" s="64" cm="1">
        <f t="array" ref="C96">ProyBeneficioMuerteActivos($E$3, A96,  Hombres!$A$1:$DW$117, Mujeres!$A$1:$DW$117, Pensionados!$A$2:$G$166,'Empleados activos'!$A$2:$I$225)</f>
        <v>0</v>
      </c>
      <c r="D96" s="68" cm="1">
        <f t="array" ref="D96">ProyBeneficioMuertePensionados($D$3, A96,  Hombres!$A$1:$DW$117, Mujeres!$A$1:$DW$117, Pensionados!$A$2:$G$166,'Empleados activos'!$A$2:$I$225)</f>
        <v>1050.2881750480797</v>
      </c>
      <c r="E96" s="64" cm="1">
        <f t="array" ref="E96">ProyBeneficioMuertePensionados($E$3, A96,  Hombres!$A$1:$DW$117, Mujeres!$A$1:$DW$117, Pensionados!$A$2:$G$166,'Empleados activos'!$A$2:$I$225)</f>
        <v>4.4758348031565447</v>
      </c>
      <c r="F96" s="71">
        <f t="shared" si="1"/>
        <v>1054.7640098512361</v>
      </c>
    </row>
    <row r="97" spans="1:6" x14ac:dyDescent="0.35">
      <c r="A97" s="59">
        <v>2118</v>
      </c>
      <c r="B97" s="63" cm="1">
        <f t="array" ref="B97">ProyBeneficioMuerteActivos($D$3, A97,  Hombres!$A$1:$DW$117, Mujeres!$A$1:$DW$117, Pensionados!$A$2:$G$166,'Empleados activos'!$A$2:$I$225)</f>
        <v>0</v>
      </c>
      <c r="C97" s="64" cm="1">
        <f t="array" ref="C97">ProyBeneficioMuerteActivos($E$3, A97,  Hombres!$A$1:$DW$117, Mujeres!$A$1:$DW$117, Pensionados!$A$2:$G$166,'Empleados activos'!$A$2:$I$225)</f>
        <v>0</v>
      </c>
      <c r="D97" s="68" cm="1">
        <f t="array" ref="D97">ProyBeneficioMuertePensionados($D$3, A97,  Hombres!$A$1:$DW$117, Mujeres!$A$1:$DW$117, Pensionados!$A$2:$G$166,'Empleados activos'!$A$2:$I$225)</f>
        <v>355.87331440773858</v>
      </c>
      <c r="E97" s="64" cm="1">
        <f t="array" ref="E97">ProyBeneficioMuertePensionados($E$3, A97,  Hombres!$A$1:$DW$117, Mujeres!$A$1:$DW$117, Pensionados!$A$2:$G$166,'Empleados activos'!$A$2:$I$225)</f>
        <v>0</v>
      </c>
      <c r="F97" s="71">
        <f t="shared" si="1"/>
        <v>355.87331440773858</v>
      </c>
    </row>
    <row r="98" spans="1:6" x14ac:dyDescent="0.35">
      <c r="A98" s="59">
        <v>2119</v>
      </c>
      <c r="B98" s="63" cm="1">
        <f t="array" ref="B98">ProyBeneficioMuerteActivos($D$3, A98,  Hombres!$A$1:$DW$117, Mujeres!$A$1:$DW$117, Pensionados!$A$2:$G$166,'Empleados activos'!$A$2:$I$225)</f>
        <v>0</v>
      </c>
      <c r="C98" s="64" cm="1">
        <f t="array" ref="C98">ProyBeneficioMuerteActivos($E$3, A98,  Hombres!$A$1:$DW$117, Mujeres!$A$1:$DW$117, Pensionados!$A$2:$G$166,'Empleados activos'!$A$2:$I$225)</f>
        <v>0</v>
      </c>
      <c r="D98" s="68" cm="1">
        <f t="array" ref="D98">ProyBeneficioMuertePensionados($D$3, A98,  Hombres!$A$1:$DW$117, Mujeres!$A$1:$DW$117, Pensionados!$A$2:$G$166,'Empleados activos'!$A$2:$I$225)</f>
        <v>117.38181095343087</v>
      </c>
      <c r="E98" s="64" cm="1">
        <f t="array" ref="E98">ProyBeneficioMuertePensionados($E$3, A98,  Hombres!$A$1:$DW$117, Mujeres!$A$1:$DW$117, Pensionados!$A$2:$G$166,'Empleados activos'!$A$2:$I$225)</f>
        <v>0</v>
      </c>
      <c r="F98" s="71">
        <f t="shared" si="1"/>
        <v>117.38181095343087</v>
      </c>
    </row>
    <row r="99" spans="1:6" x14ac:dyDescent="0.35">
      <c r="A99" s="60">
        <v>2120</v>
      </c>
      <c r="B99" s="65" cm="1">
        <f t="array" ref="B99">ProyBeneficioMuerteActivos($D$3, A99,  Hombres!$A$1:$DW$117, Mujeres!$A$1:$DW$117, Pensionados!$A$2:$G$166,'Empleados activos'!$A$2:$I$225)</f>
        <v>0</v>
      </c>
      <c r="C99" s="66" cm="1">
        <f t="array" ref="C99">ProyBeneficioMuerteActivos($E$3, A99,  Hombres!$A$1:$DW$117, Mujeres!$A$1:$DW$117, Pensionados!$A$2:$G$166,'Empleados activos'!$A$2:$I$225)</f>
        <v>0</v>
      </c>
      <c r="D99" s="69" cm="1">
        <f t="array" ref="D99">ProyBeneficioMuertePensionados($D$3, A99,  Hombres!$A$1:$DW$117, Mujeres!$A$1:$DW$117, Pensionados!$A$2:$G$166,'Empleados activos'!$A$2:$I$225)</f>
        <v>0</v>
      </c>
      <c r="E99" s="66" cm="1">
        <f t="array" ref="E99">ProyBeneficioMuertePensionados($E$3, A99,  Hombres!$A$1:$DW$117, Mujeres!$A$1:$DW$117, Pensionados!$A$2:$G$166,'Empleados activos'!$A$2:$I$225)</f>
        <v>0</v>
      </c>
      <c r="F99" s="72">
        <f t="shared" si="1"/>
        <v>0</v>
      </c>
    </row>
  </sheetData>
  <mergeCells count="5">
    <mergeCell ref="A2:A3"/>
    <mergeCell ref="B2:C2"/>
    <mergeCell ref="D2:E2"/>
    <mergeCell ref="F2:F3"/>
    <mergeCell ref="A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88" workbookViewId="0">
      <selection activeCell="B96" sqref="B96"/>
    </sheetView>
  </sheetViews>
  <sheetFormatPr baseColWidth="10" defaultRowHeight="14.5" x14ac:dyDescent="0.35"/>
  <cols>
    <col min="2" max="2" width="20.08984375" bestFit="1" customWidth="1"/>
    <col min="3" max="3" width="21" bestFit="1" customWidth="1"/>
    <col min="4" max="4" width="17.6328125" customWidth="1"/>
  </cols>
  <sheetData>
    <row r="1" spans="1:4" x14ac:dyDescent="0.35">
      <c r="A1" s="30" t="s">
        <v>18</v>
      </c>
      <c r="B1" s="53" t="s">
        <v>5</v>
      </c>
      <c r="C1" s="54" t="s">
        <v>22</v>
      </c>
      <c r="D1" s="53" t="s">
        <v>20</v>
      </c>
    </row>
    <row r="2" spans="1:4" x14ac:dyDescent="0.35">
      <c r="A2" s="12">
        <v>2025</v>
      </c>
      <c r="B2" s="47" cm="1">
        <f t="array" ref="B2">ProbPensionadoEnAnio("Masculino",A2,Hombres!$A$1:$DW$225,Mujeres!$A$1:$DW$117,Pensionados!$A$2:$G$166,'Empleados activos'!$A$2:$I$225)</f>
        <v>74</v>
      </c>
      <c r="C2" s="47" cm="1">
        <f t="array" ref="C2">ProbPensionadoEnAnio("Femenino",A2,Hombres!$A$1:$DW$225,Mujeres!$A$1:$DW$117,Pensionados!$A$2:$G$166,'Empleados activos'!$A$2:$I$225)</f>
        <v>91</v>
      </c>
      <c r="D2" s="47">
        <f>B2+C2</f>
        <v>165</v>
      </c>
    </row>
    <row r="3" spans="1:4" x14ac:dyDescent="0.35">
      <c r="A3" s="12">
        <f>A2+1</f>
        <v>2026</v>
      </c>
      <c r="B3" s="47" cm="1">
        <f t="array" ref="B3">ProbPensionadoEnAnio("Masculino",A3,Hombres!$A$1:$DW$225,Mujeres!$A$1:$DW$117,Pensionados!$A$2:$G$166,'Empleados activos'!$A$2:$I$225)</f>
        <v>71.558949599999991</v>
      </c>
      <c r="C3" s="47" cm="1">
        <f t="array" ref="C3">ProbPensionadoEnAnio("Femenino",A3,Hombres!$A$1:$DW$225,Mujeres!$A$1:$DW$117,Pensionados!$A$2:$G$166,'Empleados activos'!$A$2:$I$225)</f>
        <v>89.003841899999983</v>
      </c>
      <c r="D3" s="47">
        <f t="shared" ref="D3:D66" si="0">B3+C3</f>
        <v>160.56279149999997</v>
      </c>
    </row>
    <row r="4" spans="1:4" x14ac:dyDescent="0.35">
      <c r="A4" s="12">
        <f t="shared" ref="A4:A67" si="1">A3+1</f>
        <v>2027</v>
      </c>
      <c r="B4" s="47" cm="1">
        <f t="array" ref="B4">ProbPensionadoEnAnio("Masculino",A4,Hombres!$A$1:$DW$225,Mujeres!$A$1:$DW$117,Pensionados!$A$2:$G$166,'Empleados activos'!$A$2:$I$225)</f>
        <v>69.091327448643057</v>
      </c>
      <c r="C4" s="47" cm="1">
        <f t="array" ref="C4">ProbPensionadoEnAnio("Femenino",A4,Hombres!$A$1:$DW$225,Mujeres!$A$1:$DW$117,Pensionados!$A$2:$G$166,'Empleados activos'!$A$2:$I$225)</f>
        <v>86.902622693755958</v>
      </c>
      <c r="D4" s="47">
        <f t="shared" si="0"/>
        <v>155.993950142399</v>
      </c>
    </row>
    <row r="5" spans="1:4" x14ac:dyDescent="0.35">
      <c r="A5" s="12">
        <f t="shared" si="1"/>
        <v>2028</v>
      </c>
      <c r="B5" s="47" cm="1">
        <f t="array" ref="B5">ProbPensionadoEnAnio("Masculino",A5,Hombres!$A$1:$DW$225,Mujeres!$A$1:$DW$117,Pensionados!$A$2:$G$166,'Empleados activos'!$A$2:$I$225)</f>
        <v>67.595899852552833</v>
      </c>
      <c r="C5" s="47" cm="1">
        <f t="array" ref="C5">ProbPensionadoEnAnio("Femenino",A5,Hombres!$A$1:$DW$225,Mujeres!$A$1:$DW$117,Pensionados!$A$2:$G$166,'Empleados activos'!$A$2:$I$225)</f>
        <v>84.69931973278365</v>
      </c>
      <c r="D5" s="47">
        <f t="shared" si="0"/>
        <v>152.2952195853365</v>
      </c>
    </row>
    <row r="6" spans="1:4" x14ac:dyDescent="0.35">
      <c r="A6" s="12">
        <f t="shared" si="1"/>
        <v>2029</v>
      </c>
      <c r="B6" s="47" cm="1">
        <f t="array" ref="B6">ProbPensionadoEnAnio("Masculino",A6,Hombres!$A$1:$DW$225,Mujeres!$A$1:$DW$117,Pensionados!$A$2:$G$166,'Empleados activos'!$A$2:$I$225)</f>
        <v>65.063320325048309</v>
      </c>
      <c r="C6" s="47" cm="1">
        <f t="array" ref="C6">ProbPensionadoEnAnio("Femenino",A6,Hombres!$A$1:$DW$225,Mujeres!$A$1:$DW$117,Pensionados!$A$2:$G$166,'Empleados activos'!$A$2:$I$225)</f>
        <v>82.390563287373624</v>
      </c>
      <c r="D6" s="47">
        <f t="shared" si="0"/>
        <v>147.45388361242192</v>
      </c>
    </row>
    <row r="7" spans="1:4" x14ac:dyDescent="0.35">
      <c r="A7" s="12">
        <f t="shared" si="1"/>
        <v>2030</v>
      </c>
      <c r="B7" s="47" cm="1">
        <f t="array" ref="B7">ProbPensionadoEnAnio("Masculino",A7,Hombres!$A$1:$DW$225,Mujeres!$A$1:$DW$117,Pensionados!$A$2:$G$166,'Empleados activos'!$A$2:$I$225)</f>
        <v>62.504554827676749</v>
      </c>
      <c r="C7" s="47" cm="1">
        <f t="array" ref="C7">ProbPensionadoEnAnio("Femenino",A7,Hombres!$A$1:$DW$225,Mujeres!$A$1:$DW$117,Pensionados!$A$2:$G$166,'Empleados activos'!$A$2:$I$225)</f>
        <v>80.982134656843158</v>
      </c>
      <c r="D7" s="47">
        <f t="shared" si="0"/>
        <v>143.4866894845199</v>
      </c>
    </row>
    <row r="8" spans="1:4" x14ac:dyDescent="0.35">
      <c r="A8" s="12">
        <f t="shared" si="1"/>
        <v>2031</v>
      </c>
      <c r="B8" s="47" cm="1">
        <f t="array" ref="B8">ProbPensionadoEnAnio("Masculino",A8,Hombres!$A$1:$DW$225,Mujeres!$A$1:$DW$117,Pensionados!$A$2:$G$166,'Empleados activos'!$A$2:$I$225)</f>
        <v>59.923408095264982</v>
      </c>
      <c r="C8" s="47" cm="1">
        <f t="array" ref="C8">ProbPensionadoEnAnio("Femenino",A8,Hombres!$A$1:$DW$225,Mujeres!$A$1:$DW$117,Pensionados!$A$2:$G$166,'Empleados activos'!$A$2:$I$225)</f>
        <v>79.468579175755082</v>
      </c>
      <c r="D8" s="47">
        <f t="shared" si="0"/>
        <v>139.39198727102007</v>
      </c>
    </row>
    <row r="9" spans="1:4" x14ac:dyDescent="0.35">
      <c r="A9" s="12">
        <f t="shared" si="1"/>
        <v>2032</v>
      </c>
      <c r="B9" s="47" cm="1">
        <f t="array" ref="B9">ProbPensionadoEnAnio("Masculino",A9,Hombres!$A$1:$DW$225,Mujeres!$A$1:$DW$117,Pensionados!$A$2:$G$166,'Empleados activos'!$A$2:$I$225)</f>
        <v>57.323415509675335</v>
      </c>
      <c r="C9" s="47" cm="1">
        <f t="array" ref="C9">ProbPensionadoEnAnio("Femenino",A9,Hombres!$A$1:$DW$225,Mujeres!$A$1:$DW$117,Pensionados!$A$2:$G$166,'Empleados activos'!$A$2:$I$225)</f>
        <v>77.856985568915519</v>
      </c>
      <c r="D9" s="47">
        <f t="shared" si="0"/>
        <v>135.18040107859085</v>
      </c>
    </row>
    <row r="10" spans="1:4" x14ac:dyDescent="0.35">
      <c r="A10" s="12">
        <f t="shared" si="1"/>
        <v>2033</v>
      </c>
      <c r="B10" s="47" cm="1">
        <f t="array" ref="B10">ProbPensionadoEnAnio("Masculino",A10,Hombres!$A$1:$DW$225,Mujeres!$A$1:$DW$117,Pensionados!$A$2:$G$166,'Empleados activos'!$A$2:$I$225)</f>
        <v>54.710300912673141</v>
      </c>
      <c r="C10" s="47" cm="1">
        <f t="array" ref="C10">ProbPensionadoEnAnio("Femenino",A10,Hombres!$A$1:$DW$225,Mujeres!$A$1:$DW$117,Pensionados!$A$2:$G$166,'Empleados activos'!$A$2:$I$225)</f>
        <v>75.148203018710689</v>
      </c>
      <c r="D10" s="47">
        <f t="shared" si="0"/>
        <v>129.85850393138384</v>
      </c>
    </row>
    <row r="11" spans="1:4" x14ac:dyDescent="0.35">
      <c r="A11" s="12">
        <f t="shared" si="1"/>
        <v>2034</v>
      </c>
      <c r="B11" s="47" cm="1">
        <f t="array" ref="B11">ProbPensionadoEnAnio("Masculino",A11,Hombres!$A$1:$DW$225,Mujeres!$A$1:$DW$117,Pensionados!$A$2:$G$166,'Empleados activos'!$A$2:$I$225)</f>
        <v>52.085036028342259</v>
      </c>
      <c r="C11" s="47" cm="1">
        <f t="array" ref="C11">ProbPensionadoEnAnio("Femenino",A11,Hombres!$A$1:$DW$225,Mujeres!$A$1:$DW$117,Pensionados!$A$2:$G$166,'Empleados activos'!$A$2:$I$225)</f>
        <v>73.352938168029198</v>
      </c>
      <c r="D11" s="47">
        <f t="shared" si="0"/>
        <v>125.43797419637146</v>
      </c>
    </row>
    <row r="12" spans="1:4" x14ac:dyDescent="0.35">
      <c r="A12" s="12">
        <f t="shared" si="1"/>
        <v>2035</v>
      </c>
      <c r="B12" s="47" cm="1">
        <f t="array" ref="B12">ProbPensionadoEnAnio("Masculino",A12,Hombres!$A$1:$DW$225,Mujeres!$A$1:$DW$117,Pensionados!$A$2:$G$166,'Empleados activos'!$A$2:$I$225)</f>
        <v>49.453851867274309</v>
      </c>
      <c r="C12" s="47" cm="1">
        <f t="array" ref="C12">ProbPensionadoEnAnio("Femenino",A12,Hombres!$A$1:$DW$225,Mujeres!$A$1:$DW$117,Pensionados!$A$2:$G$166,'Empleados activos'!$A$2:$I$225)</f>
        <v>70.469909940335597</v>
      </c>
      <c r="D12" s="47">
        <f t="shared" si="0"/>
        <v>119.92376180760991</v>
      </c>
    </row>
    <row r="13" spans="1:4" x14ac:dyDescent="0.35">
      <c r="A13" s="12">
        <f t="shared" si="1"/>
        <v>2036</v>
      </c>
      <c r="B13" s="47" cm="1">
        <f t="array" ref="B13">ProbPensionadoEnAnio("Masculino",A13,Hombres!$A$1:$DW$225,Mujeres!$A$1:$DW$117,Pensionados!$A$2:$G$166,'Empleados activos'!$A$2:$I$225)</f>
        <v>47.818749025355388</v>
      </c>
      <c r="C13" s="47" cm="1">
        <f t="array" ref="C13">ProbPensionadoEnAnio("Femenino",A13,Hombres!$A$1:$DW$225,Mujeres!$A$1:$DW$117,Pensionados!$A$2:$G$166,'Empleados activos'!$A$2:$I$225)</f>
        <v>67.5121069692742</v>
      </c>
      <c r="D13" s="47">
        <f t="shared" si="0"/>
        <v>115.33085599462959</v>
      </c>
    </row>
    <row r="14" spans="1:4" x14ac:dyDescent="0.35">
      <c r="A14" s="12">
        <f t="shared" si="1"/>
        <v>2037</v>
      </c>
      <c r="B14" s="47" cm="1">
        <f t="array" ref="B14">ProbPensionadoEnAnio("Masculino",A14,Hombres!$A$1:$DW$225,Mujeres!$A$1:$DW$117,Pensionados!$A$2:$G$166,'Empleados activos'!$A$2:$I$225)</f>
        <v>45.176898399346143</v>
      </c>
      <c r="C14" s="47" cm="1">
        <f t="array" ref="C14">ProbPensionadoEnAnio("Femenino",A14,Hombres!$A$1:$DW$225,Mujeres!$A$1:$DW$117,Pensionados!$A$2:$G$166,'Empleados activos'!$A$2:$I$225)</f>
        <v>65.489265962977825</v>
      </c>
      <c r="D14" s="47">
        <f t="shared" si="0"/>
        <v>110.66616436232397</v>
      </c>
    </row>
    <row r="15" spans="1:4" x14ac:dyDescent="0.35">
      <c r="A15" s="12">
        <f t="shared" si="1"/>
        <v>2038</v>
      </c>
      <c r="B15" s="47" cm="1">
        <f t="array" ref="B15">ProbPensionadoEnAnio("Masculino",A15,Hombres!$A$1:$DW$225,Mujeres!$A$1:$DW$117,Pensionados!$A$2:$G$166,'Empleados activos'!$A$2:$I$225)</f>
        <v>43.541968800660712</v>
      </c>
      <c r="C15" s="47" cm="1">
        <f t="array" ref="C15">ProbPensionadoEnAnio("Femenino",A15,Hombres!$A$1:$DW$225,Mujeres!$A$1:$DW$117,Pensionados!$A$2:$G$166,'Empleados activos'!$A$2:$I$225)</f>
        <v>64.403257185882666</v>
      </c>
      <c r="D15" s="47">
        <f t="shared" si="0"/>
        <v>107.94522598654338</v>
      </c>
    </row>
    <row r="16" spans="1:4" x14ac:dyDescent="0.35">
      <c r="A16" s="12">
        <f t="shared" si="1"/>
        <v>2039</v>
      </c>
      <c r="B16" s="47" cm="1">
        <f t="array" ref="B16">ProbPensionadoEnAnio("Masculino",A16,Hombres!$A$1:$DW$225,Mujeres!$A$1:$DW$117,Pensionados!$A$2:$G$166,'Empleados activos'!$A$2:$I$225)</f>
        <v>43.913396409908017</v>
      </c>
      <c r="C16" s="47" cm="1">
        <f t="array" ref="C16">ProbPensionadoEnAnio("Femenino",A16,Hombres!$A$1:$DW$225,Mujeres!$A$1:$DW$117,Pensionados!$A$2:$G$166,'Empleados activos'!$A$2:$I$225)</f>
        <v>64.261098459136818</v>
      </c>
      <c r="D16" s="47">
        <f t="shared" si="0"/>
        <v>108.17449486904484</v>
      </c>
    </row>
    <row r="17" spans="1:4" x14ac:dyDescent="0.35">
      <c r="A17" s="12">
        <f t="shared" si="1"/>
        <v>2040</v>
      </c>
      <c r="B17" s="47" cm="1">
        <f t="array" ref="B17">ProbPensionadoEnAnio("Masculino",A17,Hombres!$A$1:$DW$225,Mujeres!$A$1:$DW$117,Pensionados!$A$2:$G$166,'Empleados activos'!$A$2:$I$225)</f>
        <v>45.281302915382213</v>
      </c>
      <c r="C17" s="47" cm="1">
        <f t="array" ref="C17">ProbPensionadoEnAnio("Femenino",A17,Hombres!$A$1:$DW$225,Mujeres!$A$1:$DW$117,Pensionados!$A$2:$G$166,'Empleados activos'!$A$2:$I$225)</f>
        <v>64.068057964459328</v>
      </c>
      <c r="D17" s="47">
        <f t="shared" si="0"/>
        <v>109.34936087984154</v>
      </c>
    </row>
    <row r="18" spans="1:4" x14ac:dyDescent="0.35">
      <c r="A18" s="12">
        <f t="shared" si="1"/>
        <v>2041</v>
      </c>
      <c r="B18" s="47" cm="1">
        <f t="array" ref="B18">ProbPensionadoEnAnio("Masculino",A18,Hombres!$A$1:$DW$225,Mujeres!$A$1:$DW$117,Pensionados!$A$2:$G$166,'Empleados activos'!$A$2:$I$225)</f>
        <v>43.645111864223026</v>
      </c>
      <c r="C18" s="47" cm="1">
        <f t="array" ref="C18">ProbPensionadoEnAnio("Femenino",A18,Hombres!$A$1:$DW$225,Mujeres!$A$1:$DW$117,Pensionados!$A$2:$G$166,'Empleados activos'!$A$2:$I$225)</f>
        <v>62.838066352391607</v>
      </c>
      <c r="D18" s="47">
        <f t="shared" si="0"/>
        <v>106.48317821661463</v>
      </c>
    </row>
    <row r="19" spans="1:4" x14ac:dyDescent="0.35">
      <c r="A19" s="12">
        <f t="shared" si="1"/>
        <v>2042</v>
      </c>
      <c r="B19" s="47" cm="1">
        <f t="array" ref="B19">ProbPensionadoEnAnio("Masculino",A19,Hombres!$A$1:$DW$225,Mujeres!$A$1:$DW$117,Pensionados!$A$2:$G$166,'Empleados activos'!$A$2:$I$225)</f>
        <v>44.041496462962904</v>
      </c>
      <c r="C19" s="47" cm="1">
        <f t="array" ref="C19">ProbPensionadoEnAnio("Femenino",A19,Hombres!$A$1:$DW$225,Mujeres!$A$1:$DW$117,Pensionados!$A$2:$G$166,'Empleados activos'!$A$2:$I$225)</f>
        <v>63.58860947989595</v>
      </c>
      <c r="D19" s="47">
        <f t="shared" si="0"/>
        <v>107.63010594285885</v>
      </c>
    </row>
    <row r="20" spans="1:4" x14ac:dyDescent="0.35">
      <c r="A20" s="12">
        <f t="shared" si="1"/>
        <v>2043</v>
      </c>
      <c r="B20" s="47" cm="1">
        <f t="array" ref="B20">ProbPensionadoEnAnio("Masculino",A20,Hombres!$A$1:$DW$225,Mujeres!$A$1:$DW$117,Pensionados!$A$2:$G$166,'Empleados activos'!$A$2:$I$225)</f>
        <v>41.456885282538408</v>
      </c>
      <c r="C20" s="47" cm="1">
        <f t="array" ref="C20">ProbPensionadoEnAnio("Femenino",A20,Hombres!$A$1:$DW$225,Mujeres!$A$1:$DW$117,Pensionados!$A$2:$G$166,'Empleados activos'!$A$2:$I$225)</f>
        <v>65.323464430147482</v>
      </c>
      <c r="D20" s="47">
        <f t="shared" si="0"/>
        <v>106.78034971268589</v>
      </c>
    </row>
    <row r="21" spans="1:4" x14ac:dyDescent="0.35">
      <c r="A21" s="12">
        <f t="shared" si="1"/>
        <v>2044</v>
      </c>
      <c r="B21" s="47" cm="1">
        <f t="array" ref="B21">ProbPensionadoEnAnio("Masculino",A21,Hombres!$A$1:$DW$225,Mujeres!$A$1:$DW$117,Pensionados!$A$2:$G$166,'Empleados activos'!$A$2:$I$225)</f>
        <v>41.920702460693839</v>
      </c>
      <c r="C21" s="47" cm="1">
        <f t="array" ref="C21">ProbPensionadoEnAnio("Femenino",A21,Hombres!$A$1:$DW$225,Mujeres!$A$1:$DW$117,Pensionados!$A$2:$G$166,'Empleados activos'!$A$2:$I$225)</f>
        <v>64.047703587307694</v>
      </c>
      <c r="D21" s="47">
        <f t="shared" si="0"/>
        <v>105.96840604800153</v>
      </c>
    </row>
    <row r="22" spans="1:4" x14ac:dyDescent="0.35">
      <c r="A22" s="12">
        <f t="shared" si="1"/>
        <v>2045</v>
      </c>
      <c r="B22" s="47" cm="1">
        <f t="array" ref="B22">ProbPensionadoEnAnio("Masculino",A22,Hombres!$A$1:$DW$225,Mujeres!$A$1:$DW$117,Pensionados!$A$2:$G$166,'Empleados activos'!$A$2:$I$225)</f>
        <v>40.412644778485216</v>
      </c>
      <c r="C22" s="47" cm="1">
        <f t="array" ref="C22">ProbPensionadoEnAnio("Femenino",A22,Hombres!$A$1:$DW$225,Mujeres!$A$1:$DW$117,Pensionados!$A$2:$G$166,'Empleados activos'!$A$2:$I$225)</f>
        <v>64.789771958371716</v>
      </c>
      <c r="D22" s="47">
        <f t="shared" si="0"/>
        <v>105.20241673685693</v>
      </c>
    </row>
    <row r="23" spans="1:4" x14ac:dyDescent="0.35">
      <c r="A23" s="12">
        <f t="shared" si="1"/>
        <v>2046</v>
      </c>
      <c r="B23" s="47" cm="1">
        <f t="array" ref="B23">ProbPensionadoEnAnio("Masculino",A23,Hombres!$A$1:$DW$225,Mujeres!$A$1:$DW$117,Pensionados!$A$2:$G$166,'Empleados activos'!$A$2:$I$225)</f>
        <v>44.960447302761764</v>
      </c>
      <c r="C23" s="47" cm="1">
        <f t="array" ref="C23">ProbPensionadoEnAnio("Femenino",A23,Hombres!$A$1:$DW$225,Mujeres!$A$1:$DW$117,Pensionados!$A$2:$G$166,'Empleados activos'!$A$2:$I$225)</f>
        <v>64.556098728661468</v>
      </c>
      <c r="D23" s="47">
        <f t="shared" si="0"/>
        <v>109.51654603142323</v>
      </c>
    </row>
    <row r="24" spans="1:4" x14ac:dyDescent="0.35">
      <c r="A24" s="12">
        <f t="shared" si="1"/>
        <v>2047</v>
      </c>
      <c r="B24" s="47" cm="1">
        <f t="array" ref="B24">ProbPensionadoEnAnio("Masculino",A24,Hombres!$A$1:$DW$225,Mujeres!$A$1:$DW$117,Pensionados!$A$2:$G$166,'Empleados activos'!$A$2:$I$225)</f>
        <v>43.513258827230132</v>
      </c>
      <c r="C24" s="47" cm="1">
        <f t="array" ref="C24">ProbPensionadoEnAnio("Femenino",A24,Hombres!$A$1:$DW$225,Mujeres!$A$1:$DW$117,Pensionados!$A$2:$G$166,'Empleados activos'!$A$2:$I$225)</f>
        <v>63.364148599890726</v>
      </c>
      <c r="D24" s="47">
        <f t="shared" si="0"/>
        <v>106.87740742712086</v>
      </c>
    </row>
    <row r="25" spans="1:4" x14ac:dyDescent="0.35">
      <c r="A25" s="12">
        <f t="shared" si="1"/>
        <v>2048</v>
      </c>
      <c r="B25" s="47" cm="1">
        <f t="array" ref="B25">ProbPensionadoEnAnio("Masculino",A25,Hombres!$A$1:$DW$225,Mujeres!$A$1:$DW$117,Pensionados!$A$2:$G$166,'Empleados activos'!$A$2:$I$225)</f>
        <v>42.127023222929168</v>
      </c>
      <c r="C25" s="47" cm="1">
        <f t="array" ref="C25">ProbPensionadoEnAnio("Femenino",A25,Hombres!$A$1:$DW$225,Mujeres!$A$1:$DW$117,Pensionados!$A$2:$G$166,'Empleados activos'!$A$2:$I$225)</f>
        <v>67.227341120215357</v>
      </c>
      <c r="D25" s="47">
        <f t="shared" si="0"/>
        <v>109.35436434314452</v>
      </c>
    </row>
    <row r="26" spans="1:4" x14ac:dyDescent="0.35">
      <c r="A26" s="12">
        <f t="shared" si="1"/>
        <v>2049</v>
      </c>
      <c r="B26" s="47" cm="1">
        <f t="array" ref="B26">ProbPensionadoEnAnio("Masculino",A26,Hombres!$A$1:$DW$225,Mujeres!$A$1:$DW$117,Pensionados!$A$2:$G$166,'Empleados activos'!$A$2:$I$225)</f>
        <v>40.805664469144617</v>
      </c>
      <c r="C26" s="47" cm="1">
        <f t="array" ref="C26">ProbPensionadoEnAnio("Femenino",A26,Hombres!$A$1:$DW$225,Mujeres!$A$1:$DW$117,Pensionados!$A$2:$G$166,'Empleados activos'!$A$2:$I$225)</f>
        <v>72.136361940413636</v>
      </c>
      <c r="D26" s="47">
        <f t="shared" si="0"/>
        <v>112.94202640955825</v>
      </c>
    </row>
    <row r="27" spans="1:4" x14ac:dyDescent="0.35">
      <c r="A27" s="12">
        <f t="shared" si="1"/>
        <v>2050</v>
      </c>
      <c r="B27" s="47" cm="1">
        <f t="array" ref="B27">ProbPensionadoEnAnio("Masculino",A27,Hombres!$A$1:$DW$225,Mujeres!$A$1:$DW$117,Pensionados!$A$2:$G$166,'Empleados activos'!$A$2:$I$225)</f>
        <v>40.555316751581685</v>
      </c>
      <c r="C27" s="47" cm="1">
        <f t="array" ref="C27">ProbPensionadoEnAnio("Femenino",A27,Hombres!$A$1:$DW$225,Mujeres!$A$1:$DW$117,Pensionados!$A$2:$G$166,'Empleados activos'!$A$2:$I$225)</f>
        <v>71.102277398821144</v>
      </c>
      <c r="D27" s="47">
        <f t="shared" si="0"/>
        <v>111.65759415040283</v>
      </c>
    </row>
    <row r="28" spans="1:4" x14ac:dyDescent="0.35">
      <c r="A28" s="12">
        <f t="shared" si="1"/>
        <v>2051</v>
      </c>
      <c r="B28" s="47" cm="1">
        <f t="array" ref="B28">ProbPensionadoEnAnio("Masculino",A28,Hombres!$A$1:$DW$225,Mujeres!$A$1:$DW$117,Pensionados!$A$2:$G$166,'Empleados activos'!$A$2:$I$225)</f>
        <v>40.373636625022741</v>
      </c>
      <c r="C28" s="47" cm="1">
        <f t="array" ref="C28">ProbPensionadoEnAnio("Femenino",A28,Hombres!$A$1:$DW$225,Mujeres!$A$1:$DW$117,Pensionados!$A$2:$G$166,'Empleados activos'!$A$2:$I$225)</f>
        <v>73.16126541812018</v>
      </c>
      <c r="D28" s="47">
        <f t="shared" si="0"/>
        <v>113.53490204314292</v>
      </c>
    </row>
    <row r="29" spans="1:4" x14ac:dyDescent="0.35">
      <c r="A29" s="12">
        <f t="shared" si="1"/>
        <v>2052</v>
      </c>
      <c r="B29" s="47" cm="1">
        <f t="array" ref="B29">ProbPensionadoEnAnio("Masculino",A29,Hombres!$A$1:$DW$225,Mujeres!$A$1:$DW$117,Pensionados!$A$2:$G$166,'Empleados activos'!$A$2:$I$225)</f>
        <v>43.263418623716788</v>
      </c>
      <c r="C29" s="47" cm="1">
        <f t="array" ref="C29">ProbPensionadoEnAnio("Femenino",A29,Hombres!$A$1:$DW$225,Mujeres!$A$1:$DW$117,Pensionados!$A$2:$G$166,'Empleados activos'!$A$2:$I$225)</f>
        <v>74.314233558868452</v>
      </c>
      <c r="D29" s="47">
        <f t="shared" si="0"/>
        <v>117.57765218258524</v>
      </c>
    </row>
    <row r="30" spans="1:4" x14ac:dyDescent="0.35">
      <c r="A30" s="12">
        <f t="shared" si="1"/>
        <v>2053</v>
      </c>
      <c r="B30" s="47" cm="1">
        <f t="array" ref="B30">ProbPensionadoEnAnio("Masculino",A30,Hombres!$A$1:$DW$225,Mujeres!$A$1:$DW$117,Pensionados!$A$2:$G$166,'Empleados activos'!$A$2:$I$225)</f>
        <v>46.201149074957918</v>
      </c>
      <c r="C30" s="47" cm="1">
        <f t="array" ref="C30">ProbPensionadoEnAnio("Femenino",A30,Hombres!$A$1:$DW$225,Mujeres!$A$1:$DW$117,Pensionados!$A$2:$G$166,'Empleados activos'!$A$2:$I$225)</f>
        <v>76.574041907767437</v>
      </c>
      <c r="D30" s="47">
        <f t="shared" si="0"/>
        <v>122.77519098272535</v>
      </c>
    </row>
    <row r="31" spans="1:4" x14ac:dyDescent="0.35">
      <c r="A31" s="12">
        <f t="shared" si="1"/>
        <v>2054</v>
      </c>
      <c r="B31" s="47" cm="1">
        <f t="array" ref="B31">ProbPensionadoEnAnio("Masculino",A31,Hombres!$A$1:$DW$225,Mujeres!$A$1:$DW$117,Pensionados!$A$2:$G$166,'Empleados activos'!$A$2:$I$225)</f>
        <v>52.184362841051602</v>
      </c>
      <c r="C31" s="47" cm="1">
        <f t="array" ref="C31">ProbPensionadoEnAnio("Femenino",A31,Hombres!$A$1:$DW$225,Mujeres!$A$1:$DW$117,Pensionados!$A$2:$G$166,'Empleados activos'!$A$2:$I$225)</f>
        <v>79.943396636471988</v>
      </c>
      <c r="D31" s="47">
        <f t="shared" si="0"/>
        <v>132.1277594775236</v>
      </c>
    </row>
    <row r="32" spans="1:4" x14ac:dyDescent="0.35">
      <c r="A32" s="12">
        <f t="shared" si="1"/>
        <v>2055</v>
      </c>
      <c r="B32" s="47" cm="1">
        <f t="array" ref="B32">ProbPensionadoEnAnio("Masculino",A32,Hombres!$A$1:$DW$225,Mujeres!$A$1:$DW$117,Pensionados!$A$2:$G$166,'Empleados activos'!$A$2:$I$225)</f>
        <v>59.183634905850262</v>
      </c>
      <c r="C32" s="47" cm="1">
        <f t="array" ref="C32">ProbPensionadoEnAnio("Femenino",A32,Hombres!$A$1:$DW$225,Mujeres!$A$1:$DW$117,Pensionados!$A$2:$G$166,'Empleados activos'!$A$2:$I$225)</f>
        <v>88.422712450437402</v>
      </c>
      <c r="D32" s="47">
        <f t="shared" si="0"/>
        <v>147.60634735628767</v>
      </c>
    </row>
    <row r="33" spans="1:4" x14ac:dyDescent="0.35">
      <c r="A33" s="12">
        <f t="shared" si="1"/>
        <v>2056</v>
      </c>
      <c r="B33" s="47" cm="1">
        <f t="array" ref="B33">ProbPensionadoEnAnio("Masculino",A33,Hombres!$A$1:$DW$225,Mujeres!$A$1:$DW$117,Pensionados!$A$2:$G$166,'Empleados activos'!$A$2:$I$225)</f>
        <v>70.185507612022278</v>
      </c>
      <c r="C33" s="47" cm="1">
        <f t="array" ref="C33">ProbPensionadoEnAnio("Femenino",A33,Hombres!$A$1:$DW$225,Mujeres!$A$1:$DW$117,Pensionados!$A$2:$G$166,'Empleados activos'!$A$2:$I$225)</f>
        <v>88.996052834702041</v>
      </c>
      <c r="D33" s="47">
        <f t="shared" si="0"/>
        <v>159.18156044672432</v>
      </c>
    </row>
    <row r="34" spans="1:4" x14ac:dyDescent="0.35">
      <c r="A34" s="12">
        <f t="shared" si="1"/>
        <v>2057</v>
      </c>
      <c r="B34" s="47" cm="1">
        <f t="array" ref="B34">ProbPensionadoEnAnio("Masculino",A34,Hombres!$A$1:$DW$225,Mujeres!$A$1:$DW$117,Pensionados!$A$2:$G$166,'Empleados activos'!$A$2:$I$225)</f>
        <v>73.153950755319286</v>
      </c>
      <c r="C34" s="47" cm="1">
        <f t="array" ref="C34">ProbPensionadoEnAnio("Femenino",A34,Hombres!$A$1:$DW$225,Mujeres!$A$1:$DW$117,Pensionados!$A$2:$G$166,'Empleados activos'!$A$2:$I$225)</f>
        <v>91.682735872121611</v>
      </c>
      <c r="D34" s="47">
        <f t="shared" si="0"/>
        <v>164.83668662744088</v>
      </c>
    </row>
    <row r="35" spans="1:4" x14ac:dyDescent="0.35">
      <c r="A35" s="12">
        <f t="shared" si="1"/>
        <v>2058</v>
      </c>
      <c r="B35" s="47" cm="1">
        <f t="array" ref="B35">ProbPensionadoEnAnio("Masculino",A35,Hombres!$A$1:$DW$225,Mujeres!$A$1:$DW$117,Pensionados!$A$2:$G$166,'Empleados activos'!$A$2:$I$225)</f>
        <v>75.141169211468991</v>
      </c>
      <c r="C35" s="47" cm="1">
        <f t="array" ref="C35">ProbPensionadoEnAnio("Femenino",A35,Hombres!$A$1:$DW$225,Mujeres!$A$1:$DW$117,Pensionados!$A$2:$G$166,'Empleados activos'!$A$2:$I$225)</f>
        <v>94.466303567537935</v>
      </c>
      <c r="D35" s="47">
        <f t="shared" si="0"/>
        <v>169.60747277900691</v>
      </c>
    </row>
    <row r="36" spans="1:4" x14ac:dyDescent="0.35">
      <c r="A36" s="12">
        <f t="shared" si="1"/>
        <v>2059</v>
      </c>
      <c r="B36" s="47" cm="1">
        <f t="array" ref="B36">ProbPensionadoEnAnio("Masculino",A36,Hombres!$A$1:$DW$225,Mujeres!$A$1:$DW$117,Pensionados!$A$2:$G$166,'Empleados activos'!$A$2:$I$225)</f>
        <v>77.148511030427031</v>
      </c>
      <c r="C36" s="47" cm="1">
        <f t="array" ref="C36">ProbPensionadoEnAnio("Femenino",A36,Hombres!$A$1:$DW$225,Mujeres!$A$1:$DW$117,Pensionados!$A$2:$G$166,'Empleados activos'!$A$2:$I$225)</f>
        <v>98.332870381323943</v>
      </c>
      <c r="D36" s="47">
        <f t="shared" si="0"/>
        <v>175.48138141175099</v>
      </c>
    </row>
    <row r="37" spans="1:4" x14ac:dyDescent="0.35">
      <c r="A37" s="12">
        <f t="shared" si="1"/>
        <v>2060</v>
      </c>
      <c r="B37" s="47" cm="1">
        <f t="array" ref="B37">ProbPensionadoEnAnio("Masculino",A37,Hombres!$A$1:$DW$225,Mujeres!$A$1:$DW$117,Pensionados!$A$2:$G$166,'Empleados activos'!$A$2:$I$225)</f>
        <v>78.160655773047523</v>
      </c>
      <c r="C37" s="47" cm="1">
        <f t="array" ref="C37">ProbPensionadoEnAnio("Femenino",A37,Hombres!$A$1:$DW$225,Mujeres!$A$1:$DW$117,Pensionados!$A$2:$G$166,'Empleados activos'!$A$2:$I$225)</f>
        <v>97.261143651660362</v>
      </c>
      <c r="D37" s="47">
        <f t="shared" si="0"/>
        <v>175.4217994247079</v>
      </c>
    </row>
    <row r="38" spans="1:4" x14ac:dyDescent="0.35">
      <c r="A38" s="12">
        <f t="shared" si="1"/>
        <v>2061</v>
      </c>
      <c r="B38" s="47" cm="1">
        <f t="array" ref="B38">ProbPensionadoEnAnio("Masculino",A38,Hombres!$A$1:$DW$225,Mujeres!$A$1:$DW$117,Pensionados!$A$2:$G$166,'Empleados activos'!$A$2:$I$225)</f>
        <v>77.173313499666676</v>
      </c>
      <c r="C38" s="47" cm="1">
        <f t="array" ref="C38">ProbPensionadoEnAnio("Femenino",A38,Hombres!$A$1:$DW$225,Mujeres!$A$1:$DW$117,Pensionados!$A$2:$G$166,'Empleados activos'!$A$2:$I$225)</f>
        <v>99.24720495063724</v>
      </c>
      <c r="D38" s="47">
        <f t="shared" si="0"/>
        <v>176.42051845030392</v>
      </c>
    </row>
    <row r="39" spans="1:4" x14ac:dyDescent="0.35">
      <c r="A39" s="12">
        <f t="shared" si="1"/>
        <v>2062</v>
      </c>
      <c r="B39" s="47" cm="1">
        <f t="array" ref="B39">ProbPensionadoEnAnio("Masculino",A39,Hombres!$A$1:$DW$225,Mujeres!$A$1:$DW$117,Pensionados!$A$2:$G$166,'Empleados activos'!$A$2:$I$225)</f>
        <v>78.176865187184404</v>
      </c>
      <c r="C39" s="47" cm="1">
        <f t="array" ref="C39">ProbPensionadoEnAnio("Femenino",A39,Hombres!$A$1:$DW$225,Mujeres!$A$1:$DW$117,Pensionados!$A$2:$G$166,'Empleados activos'!$A$2:$I$225)</f>
        <v>99.264154503851515</v>
      </c>
      <c r="D39" s="47">
        <f t="shared" si="0"/>
        <v>177.44101969103593</v>
      </c>
    </row>
    <row r="40" spans="1:4" x14ac:dyDescent="0.35">
      <c r="A40" s="12">
        <f t="shared" si="1"/>
        <v>2063</v>
      </c>
      <c r="B40" s="47" cm="1">
        <f t="array" ref="B40">ProbPensionadoEnAnio("Masculino",A40,Hombres!$A$1:$DW$225,Mujeres!$A$1:$DW$117,Pensionados!$A$2:$G$166,'Empleados activos'!$A$2:$I$225)</f>
        <v>84.144042398348034</v>
      </c>
      <c r="C40" s="47" cm="1">
        <f t="array" ref="C40">ProbPensionadoEnAnio("Femenino",A40,Hombres!$A$1:$DW$225,Mujeres!$A$1:$DW$117,Pensionados!$A$2:$G$166,'Empleados activos'!$A$2:$I$225)</f>
        <v>101.28990473046801</v>
      </c>
      <c r="D40" s="47">
        <f t="shared" si="0"/>
        <v>185.43394712881604</v>
      </c>
    </row>
    <row r="41" spans="1:4" x14ac:dyDescent="0.35">
      <c r="A41" s="12">
        <f t="shared" si="1"/>
        <v>2064</v>
      </c>
      <c r="B41" s="47" cm="1">
        <f t="array" ref="B41">ProbPensionadoEnAnio("Masculino",A41,Hombres!$A$1:$DW$225,Mujeres!$A$1:$DW$117,Pensionados!$A$2:$G$166,'Empleados activos'!$A$2:$I$225)</f>
        <v>84.018501063255925</v>
      </c>
      <c r="C41" s="47" cm="1">
        <f t="array" ref="C41">ProbPensionadoEnAnio("Femenino",A41,Hombres!$A$1:$DW$225,Mujeres!$A$1:$DW$117,Pensionados!$A$2:$G$166,'Empleados activos'!$A$2:$I$225)</f>
        <v>101.29325600859617</v>
      </c>
      <c r="D41" s="47">
        <f t="shared" si="0"/>
        <v>185.3117570718521</v>
      </c>
    </row>
    <row r="42" spans="1:4" x14ac:dyDescent="0.35">
      <c r="A42" s="12">
        <f t="shared" si="1"/>
        <v>2065</v>
      </c>
      <c r="B42" s="47" cm="1">
        <f t="array" ref="B42">ProbPensionadoEnAnio("Masculino",A42,Hombres!$A$1:$DW$225,Mujeres!$A$1:$DW$117,Pensionados!$A$2:$G$166,'Empleados activos'!$A$2:$I$225)</f>
        <v>83.830043736211991</v>
      </c>
      <c r="C42" s="47" cm="1">
        <f t="array" ref="C42">ProbPensionadoEnAnio("Femenino",A42,Hombres!$A$1:$DW$225,Mujeres!$A$1:$DW$117,Pensionados!$A$2:$G$166,'Empleados activos'!$A$2:$I$225)</f>
        <v>99.25681181107565</v>
      </c>
      <c r="D42" s="47">
        <f t="shared" si="0"/>
        <v>183.08685554728766</v>
      </c>
    </row>
    <row r="43" spans="1:4" x14ac:dyDescent="0.35">
      <c r="A43" s="12">
        <f t="shared" si="1"/>
        <v>2066</v>
      </c>
      <c r="B43" s="47" cm="1">
        <f t="array" ref="B43">ProbPensionadoEnAnio("Masculino",A43,Hombres!$A$1:$DW$225,Mujeres!$A$1:$DW$117,Pensionados!$A$2:$G$166,'Empleados activos'!$A$2:$I$225)</f>
        <v>82.56956098375025</v>
      </c>
      <c r="C43" s="47" cm="1">
        <f t="array" ref="C43">ProbPensionadoEnAnio("Femenino",A43,Hombres!$A$1:$DW$225,Mujeres!$A$1:$DW$117,Pensionados!$A$2:$G$166,'Empleados activos'!$A$2:$I$225)</f>
        <v>97.162018408357127</v>
      </c>
      <c r="D43" s="47">
        <f t="shared" si="0"/>
        <v>179.73157939210739</v>
      </c>
    </row>
    <row r="44" spans="1:4" x14ac:dyDescent="0.35">
      <c r="A44" s="12">
        <f t="shared" si="1"/>
        <v>2067</v>
      </c>
      <c r="B44" s="47" cm="1">
        <f t="array" ref="B44">ProbPensionadoEnAnio("Masculino",A44,Hombres!$A$1:$DW$225,Mujeres!$A$1:$DW$117,Pensionados!$A$2:$G$166,'Empleados activos'!$A$2:$I$225)</f>
        <v>81.23932104229101</v>
      </c>
      <c r="C44" s="47" cm="1">
        <f t="array" ref="C44">ProbPensionadoEnAnio("Femenino",A44,Hombres!$A$1:$DW$225,Mujeres!$A$1:$DW$117,Pensionados!$A$2:$G$166,'Empleados activos'!$A$2:$I$225)</f>
        <v>94.99162002526397</v>
      </c>
      <c r="D44" s="47">
        <f t="shared" si="0"/>
        <v>176.23094106755497</v>
      </c>
    </row>
    <row r="45" spans="1:4" x14ac:dyDescent="0.35">
      <c r="A45" s="12">
        <f t="shared" si="1"/>
        <v>2068</v>
      </c>
      <c r="B45" s="47" cm="1">
        <f t="array" ref="B45">ProbPensionadoEnAnio("Masculino",A45,Hombres!$A$1:$DW$225,Mujeres!$A$1:$DW$117,Pensionados!$A$2:$G$166,'Empleados activos'!$A$2:$I$225)</f>
        <v>81.831026734751191</v>
      </c>
      <c r="C45" s="47" cm="1">
        <f t="array" ref="C45">ProbPensionadoEnAnio("Femenino",A45,Hombres!$A$1:$DW$225,Mujeres!$A$1:$DW$117,Pensionados!$A$2:$G$166,'Empleados activos'!$A$2:$I$225)</f>
        <v>92.735379914680109</v>
      </c>
      <c r="D45" s="47">
        <f t="shared" si="0"/>
        <v>174.56640664943131</v>
      </c>
    </row>
    <row r="46" spans="1:4" x14ac:dyDescent="0.35">
      <c r="A46" s="12">
        <f t="shared" si="1"/>
        <v>2069</v>
      </c>
      <c r="B46" s="47" cm="1">
        <f t="array" ref="B46">ProbPensionadoEnAnio("Masculino",A46,Hombres!$A$1:$DW$225,Mujeres!$A$1:$DW$117,Pensionados!$A$2:$G$166,'Empleados activos'!$A$2:$I$225)</f>
        <v>79.325971341958819</v>
      </c>
      <c r="C46" s="47" cm="1">
        <f t="array" ref="C46">ProbPensionadoEnAnio("Femenino",A46,Hombres!$A$1:$DW$225,Mujeres!$A$1:$DW$117,Pensionados!$A$2:$G$166,'Empleados activos'!$A$2:$I$225)</f>
        <v>90.37531827021769</v>
      </c>
      <c r="D46" s="47">
        <f t="shared" si="0"/>
        <v>169.70128961217651</v>
      </c>
    </row>
    <row r="47" spans="1:4" x14ac:dyDescent="0.35">
      <c r="A47" s="12">
        <f t="shared" si="1"/>
        <v>2070</v>
      </c>
      <c r="B47" s="47" cm="1">
        <f t="array" ref="B47">ProbPensionadoEnAnio("Masculino",A47,Hombres!$A$1:$DW$225,Mujeres!$A$1:$DW$117,Pensionados!$A$2:$G$166,'Empleados activos'!$A$2:$I$225)</f>
        <v>76.739023861930519</v>
      </c>
      <c r="C47" s="47" cm="1">
        <f t="array" ref="C47">ProbPensionadoEnAnio("Femenino",A47,Hombres!$A$1:$DW$225,Mujeres!$A$1:$DW$117,Pensionados!$A$2:$G$166,'Empleados activos'!$A$2:$I$225)</f>
        <v>87.902346666851017</v>
      </c>
      <c r="D47" s="47">
        <f t="shared" si="0"/>
        <v>164.64137052878152</v>
      </c>
    </row>
    <row r="48" spans="1:4" x14ac:dyDescent="0.35">
      <c r="A48" s="12">
        <f t="shared" si="1"/>
        <v>2071</v>
      </c>
      <c r="B48" s="47" cm="1">
        <f t="array" ref="B48">ProbPensionadoEnAnio("Masculino",A48,Hombres!$A$1:$DW$225,Mujeres!$A$1:$DW$117,Pensionados!$A$2:$G$166,'Empleados activos'!$A$2:$I$225)</f>
        <v>74.068938154344565</v>
      </c>
      <c r="C48" s="47" cm="1">
        <f t="array" ref="C48">ProbPensionadoEnAnio("Femenino",A48,Hombres!$A$1:$DW$225,Mujeres!$A$1:$DW$117,Pensionados!$A$2:$G$166,'Empleados activos'!$A$2:$I$225)</f>
        <v>85.309406335283029</v>
      </c>
      <c r="D48" s="47">
        <f t="shared" si="0"/>
        <v>159.37834448962758</v>
      </c>
    </row>
    <row r="49" spans="1:4" x14ac:dyDescent="0.35">
      <c r="A49" s="12">
        <f t="shared" si="1"/>
        <v>2072</v>
      </c>
      <c r="B49" s="47" cm="1">
        <f t="array" ref="B49">ProbPensionadoEnAnio("Masculino",A49,Hombres!$A$1:$DW$225,Mujeres!$A$1:$DW$117,Pensionados!$A$2:$G$166,'Empleados activos'!$A$2:$I$225)</f>
        <v>71.309947457972868</v>
      </c>
      <c r="C49" s="47" cm="1">
        <f t="array" ref="C49">ProbPensionadoEnAnio("Femenino",A49,Hombres!$A$1:$DW$225,Mujeres!$A$1:$DW$117,Pensionados!$A$2:$G$166,'Empleados activos'!$A$2:$I$225)</f>
        <v>82.590606451442909</v>
      </c>
      <c r="D49" s="47">
        <f t="shared" si="0"/>
        <v>153.90055390941578</v>
      </c>
    </row>
    <row r="50" spans="1:4" x14ac:dyDescent="0.35">
      <c r="A50" s="12">
        <f t="shared" si="1"/>
        <v>2073</v>
      </c>
      <c r="B50" s="47" cm="1">
        <f t="array" ref="B50">ProbPensionadoEnAnio("Masculino",A50,Hombres!$A$1:$DW$225,Mujeres!$A$1:$DW$117,Pensionados!$A$2:$G$166,'Empleados activos'!$A$2:$I$225)</f>
        <v>68.471616437200836</v>
      </c>
      <c r="C50" s="47" cm="1">
        <f t="array" ref="C50">ProbPensionadoEnAnio("Femenino",A50,Hombres!$A$1:$DW$225,Mujeres!$A$1:$DW$117,Pensionados!$A$2:$G$166,'Empleados activos'!$A$2:$I$225)</f>
        <v>79.737140779502525</v>
      </c>
      <c r="D50" s="47">
        <f t="shared" si="0"/>
        <v>148.20875721670336</v>
      </c>
    </row>
    <row r="51" spans="1:4" x14ac:dyDescent="0.35">
      <c r="A51" s="12">
        <f t="shared" si="1"/>
        <v>2074</v>
      </c>
      <c r="B51" s="47" cm="1">
        <f t="array" ref="B51">ProbPensionadoEnAnio("Masculino",A51,Hombres!$A$1:$DW$225,Mujeres!$A$1:$DW$117,Pensionados!$A$2:$G$166,'Empleados activos'!$A$2:$I$225)</f>
        <v>65.557885667120928</v>
      </c>
      <c r="C51" s="47" cm="1">
        <f t="array" ref="C51">ProbPensionadoEnAnio("Femenino",A51,Hombres!$A$1:$DW$225,Mujeres!$A$1:$DW$117,Pensionados!$A$2:$G$166,'Empleados activos'!$A$2:$I$225)</f>
        <v>76.756173833545589</v>
      </c>
      <c r="D51" s="47">
        <f t="shared" si="0"/>
        <v>142.31405950066653</v>
      </c>
    </row>
    <row r="52" spans="1:4" x14ac:dyDescent="0.35">
      <c r="A52" s="12">
        <f t="shared" si="1"/>
        <v>2075</v>
      </c>
      <c r="B52" s="47" cm="1">
        <f t="array" ref="B52">ProbPensionadoEnAnio("Masculino",A52,Hombres!$A$1:$DW$225,Mujeres!$A$1:$DW$117,Pensionados!$A$2:$G$166,'Empleados activos'!$A$2:$I$225)</f>
        <v>62.575582269230104</v>
      </c>
      <c r="C52" s="47" cm="1">
        <f t="array" ref="C52">ProbPensionadoEnAnio("Femenino",A52,Hombres!$A$1:$DW$225,Mujeres!$A$1:$DW$117,Pensionados!$A$2:$G$166,'Empleados activos'!$A$2:$I$225)</f>
        <v>73.650341257422397</v>
      </c>
      <c r="D52" s="47">
        <f t="shared" si="0"/>
        <v>136.22592352665251</v>
      </c>
    </row>
    <row r="53" spans="1:4" x14ac:dyDescent="0.35">
      <c r="A53" s="12">
        <f t="shared" si="1"/>
        <v>2076</v>
      </c>
      <c r="B53" s="47" cm="1">
        <f t="array" ref="B53">ProbPensionadoEnAnio("Masculino",A53,Hombres!$A$1:$DW$225,Mujeres!$A$1:$DW$117,Pensionados!$A$2:$G$166,'Empleados activos'!$A$2:$I$225)</f>
        <v>59.535842197992189</v>
      </c>
      <c r="C53" s="47" cm="1">
        <f t="array" ref="C53">ProbPensionadoEnAnio("Femenino",A53,Hombres!$A$1:$DW$225,Mujeres!$A$1:$DW$117,Pensionados!$A$2:$G$166,'Empleados activos'!$A$2:$I$225)</f>
        <v>70.429132032948402</v>
      </c>
      <c r="D53" s="47">
        <f t="shared" si="0"/>
        <v>129.96497423094058</v>
      </c>
    </row>
    <row r="54" spans="1:4" x14ac:dyDescent="0.35">
      <c r="A54" s="12">
        <f t="shared" si="1"/>
        <v>2077</v>
      </c>
      <c r="B54" s="47" cm="1">
        <f t="array" ref="B54">ProbPensionadoEnAnio("Masculino",A54,Hombres!$A$1:$DW$225,Mujeres!$A$1:$DW$117,Pensionados!$A$2:$G$166,'Empleados activos'!$A$2:$I$225)</f>
        <v>56.45094696522527</v>
      </c>
      <c r="C54" s="47" cm="1">
        <f t="array" ref="C54">ProbPensionadoEnAnio("Femenino",A54,Hombres!$A$1:$DW$225,Mujeres!$A$1:$DW$117,Pensionados!$A$2:$G$166,'Empleados activos'!$A$2:$I$225)</f>
        <v>67.101911799176847</v>
      </c>
      <c r="D54" s="47">
        <f t="shared" si="0"/>
        <v>123.55285876440212</v>
      </c>
    </row>
    <row r="55" spans="1:4" x14ac:dyDescent="0.35">
      <c r="A55" s="12">
        <f t="shared" si="1"/>
        <v>2078</v>
      </c>
      <c r="B55" s="47" cm="1">
        <f t="array" ref="B55">ProbPensionadoEnAnio("Masculino",A55,Hombres!$A$1:$DW$225,Mujeres!$A$1:$DW$117,Pensionados!$A$2:$G$166,'Empleados activos'!$A$2:$I$225)</f>
        <v>53.326364850059022</v>
      </c>
      <c r="C55" s="47" cm="1">
        <f t="array" ref="C55">ProbPensionadoEnAnio("Femenino",A55,Hombres!$A$1:$DW$225,Mujeres!$A$1:$DW$117,Pensionados!$A$2:$G$166,'Empleados activos'!$A$2:$I$225)</f>
        <v>63.683652263548005</v>
      </c>
      <c r="D55" s="47">
        <f t="shared" si="0"/>
        <v>117.01001711360703</v>
      </c>
    </row>
    <row r="56" spans="1:4" x14ac:dyDescent="0.35">
      <c r="A56" s="12">
        <f t="shared" si="1"/>
        <v>2079</v>
      </c>
      <c r="B56" s="47" cm="1">
        <f t="array" ref="B56">ProbPensionadoEnAnio("Masculino",A56,Hombres!$A$1:$DW$225,Mujeres!$A$1:$DW$117,Pensionados!$A$2:$G$166,'Empleados activos'!$A$2:$I$225)</f>
        <v>50.163551878675733</v>
      </c>
      <c r="C56" s="47" cm="1">
        <f t="array" ref="C56">ProbPensionadoEnAnio("Femenino",A56,Hombres!$A$1:$DW$225,Mujeres!$A$1:$DW$117,Pensionados!$A$2:$G$166,'Empleados activos'!$A$2:$I$225)</f>
        <v>60.183323983886076</v>
      </c>
      <c r="D56" s="47">
        <f t="shared" si="0"/>
        <v>110.3468758625618</v>
      </c>
    </row>
    <row r="57" spans="1:4" x14ac:dyDescent="0.35">
      <c r="A57" s="12">
        <f t="shared" si="1"/>
        <v>2080</v>
      </c>
      <c r="B57" s="47" cm="1">
        <f t="array" ref="B57">ProbPensionadoEnAnio("Masculino",A57,Hombres!$A$1:$DW$225,Mujeres!$A$1:$DW$117,Pensionados!$A$2:$G$166,'Empleados activos'!$A$2:$I$225)</f>
        <v>46.981765703875503</v>
      </c>
      <c r="C57" s="47" cm="1">
        <f t="array" ref="C57">ProbPensionadoEnAnio("Femenino",A57,Hombres!$A$1:$DW$225,Mujeres!$A$1:$DW$117,Pensionados!$A$2:$G$166,'Empleados activos'!$A$2:$I$225)</f>
        <v>56.620126727289083</v>
      </c>
      <c r="D57" s="47">
        <f t="shared" si="0"/>
        <v>103.60189243116459</v>
      </c>
    </row>
    <row r="58" spans="1:4" x14ac:dyDescent="0.35">
      <c r="A58" s="12">
        <f t="shared" si="1"/>
        <v>2081</v>
      </c>
      <c r="B58" s="47" cm="1">
        <f t="array" ref="B58">ProbPensionadoEnAnio("Masculino",A58,Hombres!$A$1:$DW$225,Mujeres!$A$1:$DW$117,Pensionados!$A$2:$G$166,'Empleados activos'!$A$2:$I$225)</f>
        <v>43.795753556908473</v>
      </c>
      <c r="C58" s="47" cm="1">
        <f t="array" ref="C58">ProbPensionadoEnAnio("Femenino",A58,Hombres!$A$1:$DW$225,Mujeres!$A$1:$DW$117,Pensionados!$A$2:$G$166,'Empleados activos'!$A$2:$I$225)</f>
        <v>53.012837591588223</v>
      </c>
      <c r="D58" s="47">
        <f t="shared" si="0"/>
        <v>96.808591148496703</v>
      </c>
    </row>
    <row r="59" spans="1:4" x14ac:dyDescent="0.35">
      <c r="A59" s="12">
        <f t="shared" si="1"/>
        <v>2082</v>
      </c>
      <c r="B59" s="47" cm="1">
        <f t="array" ref="B59">ProbPensionadoEnAnio("Masculino",A59,Hombres!$A$1:$DW$225,Mujeres!$A$1:$DW$117,Pensionados!$A$2:$G$166,'Empleados activos'!$A$2:$I$225)</f>
        <v>40.620801722218197</v>
      </c>
      <c r="C59" s="47" cm="1">
        <f t="array" ref="C59">ProbPensionadoEnAnio("Femenino",A59,Hombres!$A$1:$DW$225,Mujeres!$A$1:$DW$117,Pensionados!$A$2:$G$166,'Empleados activos'!$A$2:$I$225)</f>
        <v>49.383770607585951</v>
      </c>
      <c r="D59" s="47">
        <f t="shared" si="0"/>
        <v>90.004572329804148</v>
      </c>
    </row>
    <row r="60" spans="1:4" x14ac:dyDescent="0.35">
      <c r="A60" s="12">
        <f t="shared" si="1"/>
        <v>2083</v>
      </c>
      <c r="B60" s="47" cm="1">
        <f t="array" ref="B60">ProbPensionadoEnAnio("Masculino",A60,Hombres!$A$1:$DW$225,Mujeres!$A$1:$DW$117,Pensionados!$A$2:$G$166,'Empleados activos'!$A$2:$I$225)</f>
        <v>37.469937767976489</v>
      </c>
      <c r="C60" s="47" cm="1">
        <f t="array" ref="C60">ProbPensionadoEnAnio("Femenino",A60,Hombres!$A$1:$DW$225,Mujeres!$A$1:$DW$117,Pensionados!$A$2:$G$166,'Empleados activos'!$A$2:$I$225)</f>
        <v>45.753430502830923</v>
      </c>
      <c r="D60" s="47">
        <f t="shared" si="0"/>
        <v>83.223368270807413</v>
      </c>
    </row>
    <row r="61" spans="1:4" x14ac:dyDescent="0.35">
      <c r="A61" s="12">
        <f t="shared" si="1"/>
        <v>2084</v>
      </c>
      <c r="B61" s="47" cm="1">
        <f t="array" ref="B61">ProbPensionadoEnAnio("Masculino",A61,Hombres!$A$1:$DW$225,Mujeres!$A$1:$DW$117,Pensionados!$A$2:$G$166,'Empleados activos'!$A$2:$I$225)</f>
        <v>34.354608686282752</v>
      </c>
      <c r="C61" s="47" cm="1">
        <f t="array" ref="C61">ProbPensionadoEnAnio("Femenino",A61,Hombres!$A$1:$DW$225,Mujeres!$A$1:$DW$117,Pensionados!$A$2:$G$166,'Empleados activos'!$A$2:$I$225)</f>
        <v>42.140664932237982</v>
      </c>
      <c r="D61" s="47">
        <f t="shared" si="0"/>
        <v>76.495273618520741</v>
      </c>
    </row>
    <row r="62" spans="1:4" x14ac:dyDescent="0.35">
      <c r="A62" s="12">
        <f t="shared" si="1"/>
        <v>2085</v>
      </c>
      <c r="B62" s="47" cm="1">
        <f t="array" ref="B62">ProbPensionadoEnAnio("Masculino",A62,Hombres!$A$1:$DW$225,Mujeres!$A$1:$DW$117,Pensionados!$A$2:$G$166,'Empleados activos'!$A$2:$I$225)</f>
        <v>31.29640517105571</v>
      </c>
      <c r="C62" s="47" cm="1">
        <f t="array" ref="C62">ProbPensionadoEnAnio("Femenino",A62,Hombres!$A$1:$DW$225,Mujeres!$A$1:$DW$117,Pensionados!$A$2:$G$166,'Empleados activos'!$A$2:$I$225)</f>
        <v>38.567260254573078</v>
      </c>
      <c r="D62" s="47">
        <f t="shared" si="0"/>
        <v>69.863665425628795</v>
      </c>
    </row>
    <row r="63" spans="1:4" x14ac:dyDescent="0.35">
      <c r="A63" s="12">
        <f t="shared" si="1"/>
        <v>2086</v>
      </c>
      <c r="B63" s="47" cm="1">
        <f t="array" ref="B63">ProbPensionadoEnAnio("Masculino",A63,Hombres!$A$1:$DW$225,Mujeres!$A$1:$DW$117,Pensionados!$A$2:$G$166,'Empleados activos'!$A$2:$I$225)</f>
        <v>28.315712257385528</v>
      </c>
      <c r="C63" s="47" cm="1">
        <f t="array" ref="C63">ProbPensionadoEnAnio("Femenino",A63,Hombres!$A$1:$DW$225,Mujeres!$A$1:$DW$117,Pensionados!$A$2:$G$166,'Empleados activos'!$A$2:$I$225)</f>
        <v>35.056519830488995</v>
      </c>
      <c r="D63" s="47">
        <f t="shared" si="0"/>
        <v>63.372232087874522</v>
      </c>
    </row>
    <row r="64" spans="1:4" x14ac:dyDescent="0.35">
      <c r="A64" s="12">
        <f t="shared" si="1"/>
        <v>2087</v>
      </c>
      <c r="B64" s="47" cm="1">
        <f t="array" ref="B64">ProbPensionadoEnAnio("Masculino",A64,Hombres!$A$1:$DW$225,Mujeres!$A$1:$DW$117,Pensionados!$A$2:$G$166,'Empleados activos'!$A$2:$I$225)</f>
        <v>25.432047615331822</v>
      </c>
      <c r="C64" s="47" cm="1">
        <f t="array" ref="C64">ProbPensionadoEnAnio("Femenino",A64,Hombres!$A$1:$DW$225,Mujeres!$A$1:$DW$117,Pensionados!$A$2:$G$166,'Empleados activos'!$A$2:$I$225)</f>
        <v>31.630344742119231</v>
      </c>
      <c r="D64" s="47">
        <f t="shared" si="0"/>
        <v>57.062392357451053</v>
      </c>
    </row>
    <row r="65" spans="1:4" x14ac:dyDescent="0.35">
      <c r="A65" s="12">
        <f t="shared" si="1"/>
        <v>2088</v>
      </c>
      <c r="B65" s="47" cm="1">
        <f t="array" ref="B65">ProbPensionadoEnAnio("Masculino",A65,Hombres!$A$1:$DW$225,Mujeres!$A$1:$DW$117,Pensionados!$A$2:$G$166,'Empleados activos'!$A$2:$I$225)</f>
        <v>22.663544016809912</v>
      </c>
      <c r="C65" s="47" cm="1">
        <f t="array" ref="C65">ProbPensionadoEnAnio("Femenino",A65,Hombres!$A$1:$DW$225,Mujeres!$A$1:$DW$117,Pensionados!$A$2:$G$166,'Empleados activos'!$A$2:$I$225)</f>
        <v>28.309252922120237</v>
      </c>
      <c r="D65" s="47">
        <f t="shared" si="0"/>
        <v>50.972796938930145</v>
      </c>
    </row>
    <row r="66" spans="1:4" x14ac:dyDescent="0.35">
      <c r="A66" s="12">
        <f t="shared" si="1"/>
        <v>2089</v>
      </c>
      <c r="B66" s="47" cm="1">
        <f t="array" ref="B66">ProbPensionadoEnAnio("Masculino",A66,Hombres!$A$1:$DW$225,Mujeres!$A$1:$DW$117,Pensionados!$A$2:$G$166,'Empleados activos'!$A$2:$I$225)</f>
        <v>20.028170885107716</v>
      </c>
      <c r="C66" s="47" cm="1">
        <f t="array" ref="C66">ProbPensionadoEnAnio("Femenino",A66,Hombres!$A$1:$DW$225,Mujeres!$A$1:$DW$117,Pensionados!$A$2:$G$166,'Empleados activos'!$A$2:$I$225)</f>
        <v>25.1140724519103</v>
      </c>
      <c r="D66" s="47">
        <f t="shared" si="0"/>
        <v>45.142243337018016</v>
      </c>
    </row>
    <row r="67" spans="1:4" x14ac:dyDescent="0.35">
      <c r="A67" s="12">
        <f t="shared" si="1"/>
        <v>2090</v>
      </c>
      <c r="B67" s="47" cm="1">
        <f t="array" ref="B67">ProbPensionadoEnAnio("Masculino",A67,Hombres!$A$1:$DW$225,Mujeres!$A$1:$DW$117,Pensionados!$A$2:$G$166,'Empleados activos'!$A$2:$I$225)</f>
        <v>17.544352886413876</v>
      </c>
      <c r="C67" s="47" cm="1">
        <f t="array" ref="C67">ProbPensionadoEnAnio("Femenino",A67,Hombres!$A$1:$DW$225,Mujeres!$A$1:$DW$117,Pensionados!$A$2:$G$166,'Empleados activos'!$A$2:$I$225)</f>
        <v>22.06720608206658</v>
      </c>
      <c r="D67" s="47">
        <f t="shared" ref="D67:D96" si="2">B67+C67</f>
        <v>39.611558968480452</v>
      </c>
    </row>
    <row r="68" spans="1:4" x14ac:dyDescent="0.35">
      <c r="A68" s="12">
        <f t="shared" ref="A68:A96" si="3">A67+1</f>
        <v>2091</v>
      </c>
      <c r="B68" s="47" cm="1">
        <f t="array" ref="B68">ProbPensionadoEnAnio("Masculino",A68,Hombres!$A$1:$DW$225,Mujeres!$A$1:$DW$117,Pensionados!$A$2:$G$166,'Empleados activos'!$A$2:$I$225)</f>
        <v>15.228834395637108</v>
      </c>
      <c r="C68" s="47" cm="1">
        <f t="array" ref="C68">ProbPensionadoEnAnio("Femenino",A68,Hombres!$A$1:$DW$225,Mujeres!$A$1:$DW$117,Pensionados!$A$2:$G$166,'Empleados activos'!$A$2:$I$225)</f>
        <v>19.190558294882958</v>
      </c>
      <c r="D68" s="47">
        <f t="shared" si="2"/>
        <v>34.41939269052007</v>
      </c>
    </row>
    <row r="69" spans="1:4" x14ac:dyDescent="0.35">
      <c r="A69" s="12">
        <f t="shared" si="3"/>
        <v>2092</v>
      </c>
      <c r="B69" s="47" cm="1">
        <f t="array" ref="B69">ProbPensionadoEnAnio("Masculino",A69,Hombres!$A$1:$DW$225,Mujeres!$A$1:$DW$117,Pensionados!$A$2:$G$166,'Empleados activos'!$A$2:$I$225)</f>
        <v>13.094040438299375</v>
      </c>
      <c r="C69" s="47" cm="1">
        <f t="array" ref="C69">ProbPensionadoEnAnio("Femenino",A69,Hombres!$A$1:$DW$225,Mujeres!$A$1:$DW$117,Pensionados!$A$2:$G$166,'Empleados activos'!$A$2:$I$225)</f>
        <v>16.502748424679393</v>
      </c>
      <c r="D69" s="47">
        <f t="shared" si="2"/>
        <v>29.596788862978769</v>
      </c>
    </row>
    <row r="70" spans="1:4" x14ac:dyDescent="0.35">
      <c r="A70" s="12">
        <f t="shared" si="3"/>
        <v>2093</v>
      </c>
      <c r="B70" s="47" cm="1">
        <f t="array" ref="B70">ProbPensionadoEnAnio("Masculino",A70,Hombres!$A$1:$DW$225,Mujeres!$A$1:$DW$117,Pensionados!$A$2:$G$166,'Empleados activos'!$A$2:$I$225)</f>
        <v>11.147594218439812</v>
      </c>
      <c r="C70" s="47" cm="1">
        <f t="array" ref="C70">ProbPensionadoEnAnio("Femenino",A70,Hombres!$A$1:$DW$225,Mujeres!$A$1:$DW$117,Pensionados!$A$2:$G$166,'Empleados activos'!$A$2:$I$225)</f>
        <v>14.018685465871178</v>
      </c>
      <c r="D70" s="47">
        <f t="shared" si="2"/>
        <v>25.166279684310989</v>
      </c>
    </row>
    <row r="71" spans="1:4" x14ac:dyDescent="0.35">
      <c r="A71" s="12">
        <f t="shared" si="3"/>
        <v>2094</v>
      </c>
      <c r="B71" s="47" cm="1">
        <f t="array" ref="B71">ProbPensionadoEnAnio("Masculino",A71,Hombres!$A$1:$DW$225,Mujeres!$A$1:$DW$117,Pensionados!$A$2:$G$166,'Empleados activos'!$A$2:$I$225)</f>
        <v>9.3931181581594263</v>
      </c>
      <c r="C71" s="47" cm="1">
        <f t="array" ref="C71">ProbPensionadoEnAnio("Femenino",A71,Hombres!$A$1:$DW$225,Mujeres!$A$1:$DW$117,Pensionados!$A$2:$G$166,'Empleados activos'!$A$2:$I$225)</f>
        <v>11.75032783178594</v>
      </c>
      <c r="D71" s="47">
        <f t="shared" si="2"/>
        <v>21.143445989945366</v>
      </c>
    </row>
    <row r="72" spans="1:4" x14ac:dyDescent="0.35">
      <c r="A72" s="12">
        <f t="shared" si="3"/>
        <v>2095</v>
      </c>
      <c r="B72" s="47" cm="1">
        <f t="array" ref="B72">ProbPensionadoEnAnio("Masculino",A72,Hombres!$A$1:$DW$225,Mujeres!$A$1:$DW$117,Pensionados!$A$2:$G$166,'Empleados activos'!$A$2:$I$225)</f>
        <v>7.8307990817228337</v>
      </c>
      <c r="C72" s="47" cm="1">
        <f t="array" ref="C72">ProbPensionadoEnAnio("Femenino",A72,Hombres!$A$1:$DW$225,Mujeres!$A$1:$DW$117,Pensionados!$A$2:$G$166,'Empleados activos'!$A$2:$I$225)</f>
        <v>9.706989179604566</v>
      </c>
      <c r="D72" s="47">
        <f t="shared" si="2"/>
        <v>17.5377882613274</v>
      </c>
    </row>
    <row r="73" spans="1:4" x14ac:dyDescent="0.35">
      <c r="A73" s="12">
        <f t="shared" si="3"/>
        <v>2096</v>
      </c>
      <c r="B73" s="47" cm="1">
        <f t="array" ref="B73">ProbPensionadoEnAnio("Masculino",A73,Hombres!$A$1:$DW$225,Mujeres!$A$1:$DW$117,Pensionados!$A$2:$G$166,'Empleados activos'!$A$2:$I$225)</f>
        <v>6.4567201208577245</v>
      </c>
      <c r="C73" s="47" cm="1">
        <f t="array" ref="C73">ProbPensionadoEnAnio("Femenino",A73,Hombres!$A$1:$DW$225,Mujeres!$A$1:$DW$117,Pensionados!$A$2:$G$166,'Empleados activos'!$A$2:$I$225)</f>
        <v>7.8938033287657783</v>
      </c>
      <c r="D73" s="47">
        <f t="shared" si="2"/>
        <v>14.350523449623502</v>
      </c>
    </row>
    <row r="74" spans="1:4" x14ac:dyDescent="0.35">
      <c r="A74" s="12">
        <f t="shared" si="3"/>
        <v>2097</v>
      </c>
      <c r="B74" s="47" cm="1">
        <f t="array" ref="B74">ProbPensionadoEnAnio("Masculino",A74,Hombres!$A$1:$DW$225,Mujeres!$A$1:$DW$117,Pensionados!$A$2:$G$166,'Empleados activos'!$A$2:$I$225)</f>
        <v>5.2624292226707814</v>
      </c>
      <c r="C74" s="47" cm="1">
        <f t="array" ref="C74">ProbPensionadoEnAnio("Femenino",A74,Hombres!$A$1:$DW$225,Mujeres!$A$1:$DW$117,Pensionados!$A$2:$G$166,'Empleados activos'!$A$2:$I$225)</f>
        <v>6.310312072650988</v>
      </c>
      <c r="D74" s="47">
        <f t="shared" si="2"/>
        <v>11.572741295321769</v>
      </c>
    </row>
    <row r="75" spans="1:4" x14ac:dyDescent="0.35">
      <c r="A75" s="12">
        <f t="shared" si="3"/>
        <v>2098</v>
      </c>
      <c r="B75" s="47" cm="1">
        <f t="array" ref="B75">ProbPensionadoEnAnio("Masculino",A75,Hombres!$A$1:$DW$225,Mujeres!$A$1:$DW$117,Pensionados!$A$2:$G$166,'Empleados activos'!$A$2:$I$225)</f>
        <v>4.236098147552303</v>
      </c>
      <c r="C75" s="47" cm="1">
        <f t="array" ref="C75">ProbPensionadoEnAnio("Femenino",A75,Hombres!$A$1:$DW$225,Mujeres!$A$1:$DW$117,Pensionados!$A$2:$G$166,'Empleados activos'!$A$2:$I$225)</f>
        <v>4.9506676939760297</v>
      </c>
      <c r="D75" s="47">
        <f t="shared" si="2"/>
        <v>9.1867658415283326</v>
      </c>
    </row>
    <row r="76" spans="1:4" x14ac:dyDescent="0.35">
      <c r="A76" s="12">
        <f t="shared" si="3"/>
        <v>2099</v>
      </c>
      <c r="B76" s="47" cm="1">
        <f t="array" ref="B76">ProbPensionadoEnAnio("Masculino",A76,Hombres!$A$1:$DW$225,Mujeres!$A$1:$DW$117,Pensionados!$A$2:$G$166,'Empleados activos'!$A$2:$I$225)</f>
        <v>3.3640649211851015</v>
      </c>
      <c r="C76" s="47" cm="1">
        <f t="array" ref="C76">ProbPensionadoEnAnio("Femenino",A76,Hombres!$A$1:$DW$225,Mujeres!$A$1:$DW$117,Pensionados!$A$2:$G$166,'Empleados activos'!$A$2:$I$225)</f>
        <v>3.8045101896000482</v>
      </c>
      <c r="D76" s="47">
        <f t="shared" si="2"/>
        <v>7.1685751107851496</v>
      </c>
    </row>
    <row r="77" spans="1:4" x14ac:dyDescent="0.35">
      <c r="A77" s="12">
        <f t="shared" si="3"/>
        <v>2100</v>
      </c>
      <c r="B77" s="47" cm="1">
        <f t="array" ref="B77">ProbPensionadoEnAnio("Masculino",A77,Hombres!$A$1:$DW$225,Mujeres!$A$1:$DW$117,Pensionados!$A$2:$G$166,'Empleados activos'!$A$2:$I$225)</f>
        <v>2.6321325416804497</v>
      </c>
      <c r="C77" s="47" cm="1">
        <f t="array" ref="C77">ProbPensionadoEnAnio("Femenino",A77,Hombres!$A$1:$DW$225,Mujeres!$A$1:$DW$117,Pensionados!$A$2:$G$166,'Empleados activos'!$A$2:$I$225)</f>
        <v>2.8577128522909474</v>
      </c>
      <c r="D77" s="47">
        <f t="shared" si="2"/>
        <v>5.4898453939713967</v>
      </c>
    </row>
    <row r="78" spans="1:4" x14ac:dyDescent="0.35">
      <c r="A78" s="12">
        <f t="shared" si="3"/>
        <v>2101</v>
      </c>
      <c r="B78" s="47" cm="1">
        <f t="array" ref="B78">ProbPensionadoEnAnio("Masculino",A78,Hombres!$A$1:$DW$225,Mujeres!$A$1:$DW$117,Pensionados!$A$2:$G$166,'Empleados activos'!$A$2:$I$225)</f>
        <v>2.0258762786550792</v>
      </c>
      <c r="C78" s="47" cm="1">
        <f t="array" ref="C78">ProbPensionadoEnAnio("Femenino",A78,Hombres!$A$1:$DW$225,Mujeres!$A$1:$DW$117,Pensionados!$A$2:$G$166,'Empleados activos'!$A$2:$I$225)</f>
        <v>2.0926843866954616</v>
      </c>
      <c r="D78" s="47">
        <f t="shared" si="2"/>
        <v>4.1185606653505413</v>
      </c>
    </row>
    <row r="79" spans="1:4" x14ac:dyDescent="0.35">
      <c r="A79" s="12">
        <f t="shared" si="3"/>
        <v>2102</v>
      </c>
      <c r="B79" s="47" cm="1">
        <f t="array" ref="B79">ProbPensionadoEnAnio("Masculino",A79,Hombres!$A$1:$DW$225,Mujeres!$A$1:$DW$117,Pensionados!$A$2:$G$166,'Empleados activos'!$A$2:$I$225)</f>
        <v>1.5308417875288804</v>
      </c>
      <c r="C79" s="47" cm="1">
        <f t="array" ref="C79">ProbPensionadoEnAnio("Femenino",A79,Hombres!$A$1:$DW$225,Mujeres!$A$1:$DW$117,Pensionados!$A$2:$G$166,'Empleados activos'!$A$2:$I$225)</f>
        <v>1.4891286762916613</v>
      </c>
      <c r="D79" s="47">
        <f t="shared" si="2"/>
        <v>3.0199704638205418</v>
      </c>
    </row>
    <row r="80" spans="1:4" x14ac:dyDescent="0.35">
      <c r="A80" s="12">
        <f t="shared" si="3"/>
        <v>2103</v>
      </c>
      <c r="B80" s="47" cm="1">
        <f t="array" ref="B80">ProbPensionadoEnAnio("Masculino",A80,Hombres!$A$1:$DW$225,Mujeres!$A$1:$DW$117,Pensionados!$A$2:$G$166,'Empleados activos'!$A$2:$I$225)</f>
        <v>1.133011607143372</v>
      </c>
      <c r="C80" s="47" cm="1">
        <f t="array" ref="C80">ProbPensionadoEnAnio("Femenino",A80,Hombres!$A$1:$DW$225,Mujeres!$A$1:$DW$117,Pensionados!$A$2:$G$166,'Empleados activos'!$A$2:$I$225)</f>
        <v>1.0254066087130773</v>
      </c>
      <c r="D80" s="47">
        <f t="shared" si="2"/>
        <v>2.1584182158564493</v>
      </c>
    </row>
    <row r="81" spans="1:4" x14ac:dyDescent="0.35">
      <c r="A81" s="12">
        <f t="shared" si="3"/>
        <v>2104</v>
      </c>
      <c r="B81" s="47" cm="1">
        <f t="array" ref="B81">ProbPensionadoEnAnio("Masculino",A81,Hombres!$A$1:$DW$225,Mujeres!$A$1:$DW$117,Pensionados!$A$2:$G$166,'Empleados activos'!$A$2:$I$225)</f>
        <v>0.81918590713496675</v>
      </c>
      <c r="C81" s="47" cm="1">
        <f t="array" ref="C81">ProbPensionadoEnAnio("Femenino",A81,Hombres!$A$1:$DW$225,Mujeres!$A$1:$DW$117,Pensionados!$A$2:$G$166,'Empleados activos'!$A$2:$I$225)</f>
        <v>0.67977318522436081</v>
      </c>
      <c r="D81" s="47">
        <f t="shared" si="2"/>
        <v>1.4989590923593274</v>
      </c>
    </row>
    <row r="82" spans="1:4" x14ac:dyDescent="0.35">
      <c r="A82" s="12">
        <f t="shared" si="3"/>
        <v>2105</v>
      </c>
      <c r="B82" s="47" cm="1">
        <f t="array" ref="B82">ProbPensionadoEnAnio("Masculino",A82,Hombres!$A$1:$DW$225,Mujeres!$A$1:$DW$117,Pensionados!$A$2:$G$166,'Empleados activos'!$A$2:$I$225)</f>
        <v>0.57700269568309648</v>
      </c>
      <c r="C82" s="47" cm="1">
        <f t="array" ref="C82">ProbPensionadoEnAnio("Femenino",A82,Hombres!$A$1:$DW$225,Mujeres!$A$1:$DW$117,Pensionados!$A$2:$G$166,'Empleados activos'!$A$2:$I$225)</f>
        <v>0.43118243236259451</v>
      </c>
      <c r="D82" s="47">
        <f t="shared" si="2"/>
        <v>1.008185128045691</v>
      </c>
    </row>
    <row r="83" spans="1:4" x14ac:dyDescent="0.35">
      <c r="A83" s="12">
        <f t="shared" si="3"/>
        <v>2106</v>
      </c>
      <c r="B83" s="47" cm="1">
        <f t="array" ref="B83">ProbPensionadoEnAnio("Masculino",A83,Hombres!$A$1:$DW$225,Mujeres!$A$1:$DW$117,Pensionados!$A$2:$G$166,'Empleados activos'!$A$2:$I$225)</f>
        <v>0.3947899995462279</v>
      </c>
      <c r="C83" s="47" cm="1">
        <f t="array" ref="C83">ProbPensionadoEnAnio("Femenino",A83,Hombres!$A$1:$DW$225,Mujeres!$A$1:$DW$117,Pensionados!$A$2:$G$166,'Empleados activos'!$A$2:$I$225)</f>
        <v>0.25975667895174737</v>
      </c>
      <c r="D83" s="47">
        <f t="shared" si="2"/>
        <v>0.65454667849797521</v>
      </c>
    </row>
    <row r="84" spans="1:4" x14ac:dyDescent="0.35">
      <c r="A84" s="12">
        <f t="shared" si="3"/>
        <v>2107</v>
      </c>
      <c r="B84" s="47" cm="1">
        <f t="array" ref="B84">ProbPensionadoEnAnio("Masculino",A84,Hombres!$A$1:$DW$225,Mujeres!$A$1:$DW$117,Pensionados!$A$2:$G$166,'Empleados activos'!$A$2:$I$225)</f>
        <v>0.2615276133502108</v>
      </c>
      <c r="C84" s="47" cm="1">
        <f t="array" ref="C84">ProbPensionadoEnAnio("Femenino",A84,Hombres!$A$1:$DW$225,Mujeres!$A$1:$DW$117,Pensionados!$A$2:$G$166,'Empleados activos'!$A$2:$I$225)</f>
        <v>0.147277580235323</v>
      </c>
      <c r="D84" s="47">
        <f t="shared" si="2"/>
        <v>0.4088051935855338</v>
      </c>
    </row>
    <row r="85" spans="1:4" x14ac:dyDescent="0.35">
      <c r="A85" s="12">
        <f t="shared" si="3"/>
        <v>2108</v>
      </c>
      <c r="B85" s="47" cm="1">
        <f t="array" ref="B85">ProbPensionadoEnAnio("Masculino",A85,Hombres!$A$1:$DW$225,Mujeres!$A$1:$DW$117,Pensionados!$A$2:$G$166,'Empleados activos'!$A$2:$I$225)</f>
        <v>0.16712064480123007</v>
      </c>
      <c r="C85" s="47" cm="1">
        <f t="array" ref="C85">ProbPensionadoEnAnio("Femenino",A85,Hombres!$A$1:$DW$225,Mujeres!$A$1:$DW$117,Pensionados!$A$2:$G$166,'Empleados activos'!$A$2:$I$225)</f>
        <v>7.7717857873725829E-2</v>
      </c>
      <c r="D85" s="47">
        <f t="shared" si="2"/>
        <v>0.24483850267495588</v>
      </c>
    </row>
    <row r="86" spans="1:4" x14ac:dyDescent="0.35">
      <c r="A86" s="12">
        <f t="shared" si="3"/>
        <v>2109</v>
      </c>
      <c r="B86" s="47" cm="1">
        <f t="array" ref="B86">ProbPensionadoEnAnio("Masculino",A86,Hombres!$A$1:$DW$225,Mujeres!$A$1:$DW$117,Pensionados!$A$2:$G$166,'Empleados activos'!$A$2:$I$225)</f>
        <v>0.10254789984043647</v>
      </c>
      <c r="C86" s="47" cm="1">
        <f t="array" ref="C86">ProbPensionadoEnAnio("Femenino",A86,Hombres!$A$1:$DW$225,Mujeres!$A$1:$DW$117,Pensionados!$A$2:$G$166,'Empleados activos'!$A$2:$I$225)</f>
        <v>3.7650244955361754E-2</v>
      </c>
      <c r="D86" s="47">
        <f t="shared" si="2"/>
        <v>0.14019814479579823</v>
      </c>
    </row>
    <row r="87" spans="1:4" x14ac:dyDescent="0.35">
      <c r="A87" s="12">
        <f t="shared" si="3"/>
        <v>2110</v>
      </c>
      <c r="B87" s="47" cm="1">
        <f t="array" ref="B87">ProbPensionadoEnAnio("Masculino",A87,Hombres!$A$1:$DW$225,Mujeres!$A$1:$DW$117,Pensionados!$A$2:$G$166,'Empleados activos'!$A$2:$I$225)</f>
        <v>6.0111125258902581E-2</v>
      </c>
      <c r="C87" s="47" cm="1">
        <f t="array" ref="C87">ProbPensionadoEnAnio("Femenino",A87,Hombres!$A$1:$DW$225,Mujeres!$A$1:$DW$117,Pensionados!$A$2:$G$166,'Empleados activos'!$A$2:$I$225)</f>
        <v>1.6463123648849404E-2</v>
      </c>
      <c r="D87" s="47">
        <f t="shared" si="2"/>
        <v>7.6574248907751982E-2</v>
      </c>
    </row>
    <row r="88" spans="1:4" x14ac:dyDescent="0.35">
      <c r="A88" s="12">
        <f t="shared" si="3"/>
        <v>2111</v>
      </c>
      <c r="B88" s="47" cm="1">
        <f t="array" ref="B88">ProbPensionadoEnAnio("Masculino",A88,Hombres!$A$1:$DW$225,Mujeres!$A$1:$DW$117,Pensionados!$A$2:$G$166,'Empleados activos'!$A$2:$I$225)</f>
        <v>3.3450570982652444E-2</v>
      </c>
      <c r="C88" s="47" cm="1">
        <f t="array" ref="C88">ProbPensionadoEnAnio("Femenino",A88,Hombres!$A$1:$DW$225,Mujeres!$A$1:$DW$117,Pensionados!$A$2:$G$166,'Empleados activos'!$A$2:$I$225)</f>
        <v>6.3594313657416579E-3</v>
      </c>
      <c r="D88" s="47">
        <f t="shared" si="2"/>
        <v>3.9810002348394102E-2</v>
      </c>
    </row>
    <row r="89" spans="1:4" x14ac:dyDescent="0.35">
      <c r="A89" s="12">
        <f t="shared" si="3"/>
        <v>2112</v>
      </c>
      <c r="B89" s="47" cm="1">
        <f t="array" ref="B89">ProbPensionadoEnAnio("Masculino",A89,Hombres!$A$1:$DW$225,Mujeres!$A$1:$DW$117,Pensionados!$A$2:$G$166,'Empleados activos'!$A$2:$I$225)</f>
        <v>1.7533315846376855E-2</v>
      </c>
      <c r="C89" s="47" cm="1">
        <f t="array" ref="C89">ProbPensionadoEnAnio("Femenino",A89,Hombres!$A$1:$DW$225,Mujeres!$A$1:$DW$117,Pensionados!$A$2:$G$166,'Empleados activos'!$A$2:$I$225)</f>
        <v>2.1095770971365255E-3</v>
      </c>
      <c r="D89" s="47">
        <f t="shared" si="2"/>
        <v>1.9642892943513381E-2</v>
      </c>
    </row>
    <row r="90" spans="1:4" x14ac:dyDescent="0.35">
      <c r="A90" s="12">
        <f t="shared" si="3"/>
        <v>2113</v>
      </c>
      <c r="B90" s="47" cm="1">
        <f t="array" ref="B90">ProbPensionadoEnAnio("Masculino",A90,Hombres!$A$1:$DW$225,Mujeres!$A$1:$DW$117,Pensionados!$A$2:$G$166,'Empleados activos'!$A$2:$I$225)</f>
        <v>8.5615323815127261E-3</v>
      </c>
      <c r="C90" s="47" cm="1">
        <f t="array" ref="C90">ProbPensionadoEnAnio("Femenino",A90,Hombres!$A$1:$DW$225,Mujeres!$A$1:$DW$117,Pensionados!$A$2:$G$166,'Empleados activos'!$A$2:$I$225)</f>
        <v>5.7804887612545014E-4</v>
      </c>
      <c r="D90" s="47">
        <f t="shared" si="2"/>
        <v>9.1395812576381755E-3</v>
      </c>
    </row>
    <row r="91" spans="1:4" x14ac:dyDescent="0.35">
      <c r="A91" s="12">
        <f t="shared" si="3"/>
        <v>2114</v>
      </c>
      <c r="B91" s="47" cm="1">
        <f t="array" ref="B91">ProbPensionadoEnAnio("Masculino",A91,Hombres!$A$1:$DW$225,Mujeres!$A$1:$DW$117,Pensionados!$A$2:$G$166,'Empleados activos'!$A$2:$I$225)</f>
        <v>3.8332524563641276E-3</v>
      </c>
      <c r="C91" s="47" cm="1">
        <f t="array" ref="C91">ProbPensionadoEnAnio("Femenino",A91,Hombres!$A$1:$DW$225,Mujeres!$A$1:$DW$117,Pensionados!$A$2:$G$166,'Empleados activos'!$A$2:$I$225)</f>
        <v>1.2338576017683028E-4</v>
      </c>
      <c r="D91" s="47">
        <f t="shared" si="2"/>
        <v>3.9566382165409581E-3</v>
      </c>
    </row>
    <row r="92" spans="1:4" x14ac:dyDescent="0.35">
      <c r="A92" s="12">
        <f t="shared" si="3"/>
        <v>2115</v>
      </c>
      <c r="B92" s="47" cm="1">
        <f t="array" ref="B92">ProbPensionadoEnAnio("Masculino",A92,Hombres!$A$1:$DW$225,Mujeres!$A$1:$DW$117,Pensionados!$A$2:$G$166,'Empleados activos'!$A$2:$I$225)</f>
        <v>1.5626354033974022E-3</v>
      </c>
      <c r="C92" s="47" cm="1">
        <f t="array" ref="C92">ProbPensionadoEnAnio("Femenino",A92,Hombres!$A$1:$DW$225,Mujeres!$A$1:$DW$117,Pensionados!$A$2:$G$166,'Empleados activos'!$A$2:$I$225)</f>
        <v>1.8616180979094347E-5</v>
      </c>
      <c r="D92" s="47">
        <f t="shared" si="2"/>
        <v>1.5812515843764965E-3</v>
      </c>
    </row>
    <row r="93" spans="1:4" x14ac:dyDescent="0.35">
      <c r="A93" s="12">
        <f t="shared" si="3"/>
        <v>2116</v>
      </c>
      <c r="B93" s="47" cm="1">
        <f t="array" ref="B93">ProbPensionadoEnAnio("Masculino",A93,Hombres!$A$1:$DW$225,Mujeres!$A$1:$DW$117,Pensionados!$A$2:$G$166,'Empleados activos'!$A$2:$I$225)</f>
        <v>5.6238862782189184E-4</v>
      </c>
      <c r="C93" s="47" cm="1">
        <f t="array" ref="C93">ProbPensionadoEnAnio("Femenino",A93,Hombres!$A$1:$DW$225,Mujeres!$A$1:$DW$117,Pensionados!$A$2:$G$166,'Empleados activos'!$A$2:$I$225)</f>
        <v>1.5444588584630677E-6</v>
      </c>
      <c r="D93" s="47">
        <f t="shared" si="2"/>
        <v>5.6393308668035492E-4</v>
      </c>
    </row>
    <row r="94" spans="1:4" x14ac:dyDescent="0.35">
      <c r="A94" s="12">
        <f t="shared" si="3"/>
        <v>2117</v>
      </c>
      <c r="B94" s="47" cm="1">
        <f t="array" ref="B94">ProbPensionadoEnAnio("Masculino",A94,Hombres!$A$1:$DW$225,Mujeres!$A$1:$DW$117,Pensionados!$A$2:$G$166,'Empleados activos'!$A$2:$I$225)</f>
        <v>1.7463833305763262E-4</v>
      </c>
      <c r="C94" s="47" cm="1">
        <f t="array" ref="C94">ProbPensionadoEnAnio("Femenino",A94,Hombres!$A$1:$DW$225,Mujeres!$A$1:$DW$117,Pensionados!$A$2:$G$166,'Empleados activos'!$A$2:$I$225)</f>
        <v>0</v>
      </c>
      <c r="D94" s="47">
        <f t="shared" si="2"/>
        <v>1.7463833305763262E-4</v>
      </c>
    </row>
    <row r="95" spans="1:4" x14ac:dyDescent="0.35">
      <c r="A95" s="12">
        <f t="shared" si="3"/>
        <v>2118</v>
      </c>
      <c r="B95" s="47" cm="1">
        <f t="array" ref="B95">ProbPensionadoEnAnio("Masculino",A95,Hombres!$A$1:$DW$225,Mujeres!$A$1:$DW$117,Pensionados!$A$2:$G$166,'Empleados activos'!$A$2:$I$225)</f>
        <v>4.3293508371404686E-5</v>
      </c>
      <c r="C95" s="47" cm="1">
        <f t="array" ref="C95">ProbPensionadoEnAnio("Femenino",A95,Hombres!$A$1:$DW$225,Mujeres!$A$1:$DW$117,Pensionados!$A$2:$G$166,'Empleados activos'!$A$2:$I$225)</f>
        <v>0</v>
      </c>
      <c r="D95" s="47">
        <f t="shared" si="2"/>
        <v>4.3293508371404686E-5</v>
      </c>
    </row>
    <row r="96" spans="1:4" x14ac:dyDescent="0.35">
      <c r="A96" s="12">
        <f t="shared" si="3"/>
        <v>2119</v>
      </c>
      <c r="B96" s="47" cm="1">
        <f t="array" ref="B96">ProbPensionadoEnAnio("Masculino",A96,Hombres!$A$1:$DW$225,Mujeres!$A$1:$DW$117,Pensionados!$A$2:$G$166,'Empleados activos'!$A$2:$I$225)</f>
        <v>0</v>
      </c>
      <c r="C96" s="47" cm="1">
        <f t="array" ref="C96">ProbPensionadoEnAnio("Femenino",A96,Hombres!$A$1:$DW$225,Mujeres!$A$1:$DW$117,Pensionados!$A$2:$G$166,'Empleados activos'!$A$2:$I$225)</f>
        <v>0</v>
      </c>
      <c r="D96" s="47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I101" workbookViewId="0">
      <selection activeCell="A2" sqref="A2:A117"/>
    </sheetView>
  </sheetViews>
  <sheetFormatPr baseColWidth="10" defaultRowHeight="14.5" x14ac:dyDescent="0.35"/>
  <sheetData>
    <row r="1" spans="1:127" x14ac:dyDescent="0.35">
      <c r="A1" s="33" t="s">
        <v>11</v>
      </c>
      <c r="B1" s="34">
        <v>2025</v>
      </c>
      <c r="C1" s="34">
        <v>2026</v>
      </c>
      <c r="D1" s="34">
        <v>2027</v>
      </c>
      <c r="E1" s="34">
        <v>2028</v>
      </c>
      <c r="F1" s="34">
        <v>2029</v>
      </c>
      <c r="G1" s="34">
        <v>2030</v>
      </c>
      <c r="H1" s="34">
        <v>2031</v>
      </c>
      <c r="I1" s="34">
        <v>2032</v>
      </c>
      <c r="J1" s="34">
        <v>2033</v>
      </c>
      <c r="K1" s="34">
        <v>2034</v>
      </c>
      <c r="L1" s="34">
        <v>2035</v>
      </c>
      <c r="M1" s="34">
        <v>2036</v>
      </c>
      <c r="N1" s="34">
        <v>2037</v>
      </c>
      <c r="O1" s="34">
        <v>2038</v>
      </c>
      <c r="P1" s="34">
        <v>2039</v>
      </c>
      <c r="Q1" s="34">
        <v>2040</v>
      </c>
      <c r="R1" s="34">
        <v>2041</v>
      </c>
      <c r="S1" s="34">
        <v>2042</v>
      </c>
      <c r="T1" s="34">
        <v>2043</v>
      </c>
      <c r="U1" s="34">
        <v>2044</v>
      </c>
      <c r="V1" s="34">
        <v>2045</v>
      </c>
      <c r="W1" s="34">
        <v>2046</v>
      </c>
      <c r="X1" s="34">
        <v>2047</v>
      </c>
      <c r="Y1" s="34">
        <v>2048</v>
      </c>
      <c r="Z1" s="34">
        <v>2049</v>
      </c>
      <c r="AA1" s="34">
        <v>2050</v>
      </c>
      <c r="AB1" s="34">
        <v>2051</v>
      </c>
      <c r="AC1" s="34">
        <v>2052</v>
      </c>
      <c r="AD1" s="34">
        <v>2053</v>
      </c>
      <c r="AE1" s="34">
        <v>2054</v>
      </c>
      <c r="AF1" s="34">
        <v>2055</v>
      </c>
      <c r="AG1" s="34">
        <v>2056</v>
      </c>
      <c r="AH1" s="34">
        <v>2057</v>
      </c>
      <c r="AI1" s="34">
        <v>2058</v>
      </c>
      <c r="AJ1" s="34">
        <v>2059</v>
      </c>
      <c r="AK1" s="34">
        <v>2060</v>
      </c>
      <c r="AL1" s="34">
        <v>2061</v>
      </c>
      <c r="AM1" s="34">
        <v>2062</v>
      </c>
      <c r="AN1" s="34">
        <v>2063</v>
      </c>
      <c r="AO1" s="34">
        <v>2064</v>
      </c>
      <c r="AP1" s="34">
        <v>2065</v>
      </c>
      <c r="AQ1" s="34">
        <v>2066</v>
      </c>
      <c r="AR1" s="34">
        <v>2067</v>
      </c>
      <c r="AS1" s="34">
        <v>2068</v>
      </c>
      <c r="AT1" s="34">
        <v>2069</v>
      </c>
      <c r="AU1" s="34">
        <v>2070</v>
      </c>
      <c r="AV1" s="34">
        <v>2071</v>
      </c>
      <c r="AW1" s="34">
        <v>2072</v>
      </c>
      <c r="AX1" s="34">
        <v>2073</v>
      </c>
      <c r="AY1" s="34">
        <v>2074</v>
      </c>
      <c r="AZ1" s="34">
        <v>2075</v>
      </c>
      <c r="BA1" s="34">
        <v>2076</v>
      </c>
      <c r="BB1" s="34">
        <v>2077</v>
      </c>
      <c r="BC1" s="34">
        <v>2078</v>
      </c>
      <c r="BD1" s="34">
        <v>2079</v>
      </c>
      <c r="BE1" s="34">
        <v>2080</v>
      </c>
      <c r="BF1" s="34">
        <v>2081</v>
      </c>
      <c r="BG1" s="34">
        <v>2082</v>
      </c>
      <c r="BH1" s="34">
        <v>2083</v>
      </c>
      <c r="BI1" s="34">
        <v>2084</v>
      </c>
      <c r="BJ1" s="34">
        <v>2085</v>
      </c>
      <c r="BK1" s="34">
        <v>2086</v>
      </c>
      <c r="BL1" s="34">
        <v>2087</v>
      </c>
      <c r="BM1" s="34">
        <v>2088</v>
      </c>
      <c r="BN1" s="34">
        <v>2089</v>
      </c>
      <c r="BO1" s="34">
        <v>2090</v>
      </c>
      <c r="BP1" s="34">
        <v>2091</v>
      </c>
      <c r="BQ1" s="34">
        <v>2092</v>
      </c>
      <c r="BR1" s="34">
        <v>2093</v>
      </c>
      <c r="BS1" s="34">
        <v>2094</v>
      </c>
      <c r="BT1" s="34">
        <v>2095</v>
      </c>
      <c r="BU1" s="34">
        <v>2096</v>
      </c>
      <c r="BV1" s="34">
        <v>2097</v>
      </c>
      <c r="BW1" s="34">
        <v>2098</v>
      </c>
      <c r="BX1" s="34">
        <v>2099</v>
      </c>
      <c r="BY1" s="34">
        <v>2100</v>
      </c>
      <c r="BZ1" s="34">
        <v>2101</v>
      </c>
      <c r="CA1" s="34">
        <v>2102</v>
      </c>
      <c r="CB1" s="34">
        <v>2103</v>
      </c>
      <c r="CC1" s="34">
        <v>2104</v>
      </c>
      <c r="CD1" s="34">
        <v>2105</v>
      </c>
      <c r="CE1" s="34">
        <v>2106</v>
      </c>
      <c r="CF1" s="34">
        <v>2107</v>
      </c>
      <c r="CG1" s="34">
        <v>2108</v>
      </c>
      <c r="CH1" s="34">
        <v>2109</v>
      </c>
      <c r="CI1" s="34">
        <v>2110</v>
      </c>
      <c r="CJ1" s="34">
        <v>2111</v>
      </c>
      <c r="CK1" s="34">
        <v>2112</v>
      </c>
      <c r="CL1" s="34">
        <v>2113</v>
      </c>
      <c r="CM1" s="34">
        <v>2114</v>
      </c>
      <c r="CN1" s="34">
        <v>2115</v>
      </c>
      <c r="CO1" s="34">
        <v>2116</v>
      </c>
      <c r="CP1" s="34">
        <v>2117</v>
      </c>
      <c r="CQ1" s="34">
        <v>2118</v>
      </c>
      <c r="CR1" s="34">
        <v>2119</v>
      </c>
      <c r="CS1" s="34">
        <v>2120</v>
      </c>
      <c r="CT1" s="34">
        <v>2121</v>
      </c>
      <c r="CU1" s="34">
        <v>2122</v>
      </c>
      <c r="CV1" s="34">
        <v>2123</v>
      </c>
      <c r="CW1" s="34">
        <v>2124</v>
      </c>
      <c r="CX1" s="34">
        <v>2125</v>
      </c>
      <c r="CY1" s="34">
        <v>2126</v>
      </c>
      <c r="CZ1" s="34">
        <v>2127</v>
      </c>
      <c r="DA1" s="34">
        <v>2128</v>
      </c>
      <c r="DB1" s="34">
        <v>2129</v>
      </c>
      <c r="DC1" s="34">
        <v>2130</v>
      </c>
      <c r="DD1" s="34">
        <v>2131</v>
      </c>
      <c r="DE1" s="34">
        <v>2132</v>
      </c>
      <c r="DF1" s="34">
        <v>2133</v>
      </c>
      <c r="DG1" s="34">
        <v>2134</v>
      </c>
      <c r="DH1" s="34">
        <v>2135</v>
      </c>
      <c r="DI1" s="34">
        <v>2136</v>
      </c>
      <c r="DJ1" s="34">
        <v>2137</v>
      </c>
      <c r="DK1" s="34">
        <v>2138</v>
      </c>
      <c r="DL1" s="34">
        <v>2139</v>
      </c>
      <c r="DM1" s="34">
        <v>2140</v>
      </c>
      <c r="DN1" s="34">
        <v>2141</v>
      </c>
      <c r="DO1" s="34">
        <v>2142</v>
      </c>
      <c r="DP1" s="34">
        <v>2143</v>
      </c>
      <c r="DQ1" s="34">
        <v>2144</v>
      </c>
      <c r="DR1" s="34">
        <v>2145</v>
      </c>
      <c r="DS1" s="34">
        <v>2146</v>
      </c>
      <c r="DT1" s="34">
        <v>2147</v>
      </c>
      <c r="DU1" s="34">
        <v>2148</v>
      </c>
      <c r="DV1" s="34">
        <v>2149</v>
      </c>
      <c r="DW1" s="34">
        <v>2150</v>
      </c>
    </row>
    <row r="2" spans="1:127" x14ac:dyDescent="0.35">
      <c r="A2" s="34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34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34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34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4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34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34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34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34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34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34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34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34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34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34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34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34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34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34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34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34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34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34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34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34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34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34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34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34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34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34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34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34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34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34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34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34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34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34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34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34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34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34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34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34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34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34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34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34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34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34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34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34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34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34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34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34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34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34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34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34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34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34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34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34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34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34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34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34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34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34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34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34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34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34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34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34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34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34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34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34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34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34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34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34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34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34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34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34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34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34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34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34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34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34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34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34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34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34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34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34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34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34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34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34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34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34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34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34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34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34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34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34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34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34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34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2" cm="1">
        <f t="array" ref="F118">edadCalc(C118)</f>
        <v>126</v>
      </c>
      <c r="G118" s="12" cm="1">
        <f t="array" ref="G118">edadCalc(E118)</f>
        <v>126</v>
      </c>
    </row>
    <row r="119" spans="1:127" x14ac:dyDescent="0.35">
      <c r="F119" s="12" cm="1">
        <f t="array" ref="F119">edadCalc(C119)</f>
        <v>126</v>
      </c>
      <c r="G119" s="12" cm="1">
        <f t="array" ref="G119">edadCalc(E119)</f>
        <v>126</v>
      </c>
    </row>
    <row r="120" spans="1:127" x14ac:dyDescent="0.35">
      <c r="F120" s="12" cm="1">
        <f t="array" ref="F120">edadCalc(C120)</f>
        <v>126</v>
      </c>
      <c r="G120" s="12" cm="1">
        <f t="array" ref="G120">edadCalc(E120)</f>
        <v>126</v>
      </c>
    </row>
    <row r="121" spans="1:127" x14ac:dyDescent="0.35">
      <c r="F121" s="12" cm="1">
        <f t="array" ref="F121">edadCalc(C121)</f>
        <v>126</v>
      </c>
      <c r="G121" s="12" cm="1">
        <f t="array" ref="G121">edadCalc(E121)</f>
        <v>126</v>
      </c>
    </row>
    <row r="122" spans="1:127" x14ac:dyDescent="0.35">
      <c r="F122" s="12" cm="1">
        <f t="array" ref="F122">edadCalc(C122)</f>
        <v>126</v>
      </c>
      <c r="G122" s="12" cm="1">
        <f t="array" ref="G122">edadCalc(E122)</f>
        <v>126</v>
      </c>
    </row>
    <row r="123" spans="1:127" x14ac:dyDescent="0.35">
      <c r="F123" s="12" cm="1">
        <f t="array" ref="F123">edadCalc(C123)</f>
        <v>126</v>
      </c>
      <c r="G123" s="12" cm="1">
        <f t="array" ref="G123">edadCalc(E123)</f>
        <v>126</v>
      </c>
    </row>
    <row r="124" spans="1:127" x14ac:dyDescent="0.35">
      <c r="F124" s="12" cm="1">
        <f t="array" ref="F124">edadCalc(C124)</f>
        <v>126</v>
      </c>
      <c r="G124" s="12" cm="1">
        <f t="array" ref="G124">edadCalc(E124)</f>
        <v>126</v>
      </c>
    </row>
    <row r="125" spans="1:127" x14ac:dyDescent="0.35">
      <c r="F125" s="12" cm="1">
        <f t="array" ref="F125">edadCalc(C125)</f>
        <v>126</v>
      </c>
      <c r="G125" s="12" cm="1">
        <f t="array" ref="G125">edadCalc(E125)</f>
        <v>126</v>
      </c>
    </row>
    <row r="126" spans="1:127" x14ac:dyDescent="0.35">
      <c r="F126" s="12" cm="1">
        <f t="array" ref="F126">edadCalc(C126)</f>
        <v>126</v>
      </c>
      <c r="G126" s="12" cm="1">
        <f t="array" ref="G126">edadCalc(E126)</f>
        <v>126</v>
      </c>
    </row>
    <row r="127" spans="1:127" x14ac:dyDescent="0.35">
      <c r="F127" s="12" cm="1">
        <f t="array" ref="F127">edadCalc(C127)</f>
        <v>126</v>
      </c>
      <c r="G127" s="12" cm="1">
        <f t="array" ref="G127">edadCalc(E127)</f>
        <v>126</v>
      </c>
    </row>
    <row r="128" spans="1:127" x14ac:dyDescent="0.35">
      <c r="F128" s="12" cm="1">
        <f t="array" ref="F128">edadCalc(C128)</f>
        <v>126</v>
      </c>
      <c r="G128" s="12" cm="1">
        <f t="array" ref="G128">edadCalc(E128)</f>
        <v>126</v>
      </c>
    </row>
    <row r="129" spans="6:7" x14ac:dyDescent="0.35">
      <c r="F129" s="12" cm="1">
        <f t="array" ref="F129">edadCalc(C129)</f>
        <v>126</v>
      </c>
      <c r="G129" s="12" cm="1">
        <f t="array" ref="G129">edadCalc(E129)</f>
        <v>126</v>
      </c>
    </row>
    <row r="130" spans="6:7" x14ac:dyDescent="0.35">
      <c r="F130" s="12" cm="1">
        <f t="array" ref="F130">edadCalc(C130)</f>
        <v>126</v>
      </c>
      <c r="G130" s="12" cm="1">
        <f t="array" ref="G130">edadCalc(E130)</f>
        <v>126</v>
      </c>
    </row>
    <row r="131" spans="6:7" x14ac:dyDescent="0.35">
      <c r="F131" s="12" cm="1">
        <f t="array" ref="F131">edadCalc(C131)</f>
        <v>126</v>
      </c>
      <c r="G131" s="12" cm="1">
        <f t="array" ref="G131">edadCalc(E131)</f>
        <v>126</v>
      </c>
    </row>
    <row r="132" spans="6:7" x14ac:dyDescent="0.35">
      <c r="F132" s="12" cm="1">
        <f t="array" ref="F132">edadCalc(C132)</f>
        <v>126</v>
      </c>
      <c r="G132" s="12" cm="1">
        <f t="array" ref="G132">edadCalc(E132)</f>
        <v>126</v>
      </c>
    </row>
    <row r="133" spans="6:7" x14ac:dyDescent="0.35">
      <c r="F133" s="12" cm="1">
        <f t="array" ref="F133">edadCalc(C133)</f>
        <v>126</v>
      </c>
      <c r="G133" s="12" cm="1">
        <f t="array" ref="G133">edadCalc(E133)</f>
        <v>126</v>
      </c>
    </row>
    <row r="134" spans="6:7" x14ac:dyDescent="0.35">
      <c r="F134" s="12" cm="1">
        <f t="array" ref="F134">edadCalc(C134)</f>
        <v>126</v>
      </c>
      <c r="G134" s="12" cm="1">
        <f t="array" ref="G134">edadCalc(E134)</f>
        <v>126</v>
      </c>
    </row>
    <row r="135" spans="6:7" x14ac:dyDescent="0.35">
      <c r="F135" s="12" cm="1">
        <f t="array" ref="F135">edadCalc(C135)</f>
        <v>126</v>
      </c>
      <c r="G135" s="12" cm="1">
        <f t="array" ref="G135">edadCalc(E135)</f>
        <v>126</v>
      </c>
    </row>
    <row r="136" spans="6:7" x14ac:dyDescent="0.35">
      <c r="F136" s="12" cm="1">
        <f t="array" ref="F136">edadCalc(C136)</f>
        <v>126</v>
      </c>
      <c r="G136" s="12" cm="1">
        <f t="array" ref="G136">edadCalc(E136)</f>
        <v>126</v>
      </c>
    </row>
    <row r="137" spans="6:7" x14ac:dyDescent="0.35">
      <c r="F137" s="12" cm="1">
        <f t="array" ref="F137">edadCalc(C137)</f>
        <v>126</v>
      </c>
      <c r="G137" s="12" cm="1">
        <f t="array" ref="G137">edadCalc(E137)</f>
        <v>126</v>
      </c>
    </row>
    <row r="138" spans="6:7" x14ac:dyDescent="0.35">
      <c r="F138" s="12" cm="1">
        <f t="array" ref="F138">edadCalc(C138)</f>
        <v>126</v>
      </c>
      <c r="G138" s="12" cm="1">
        <f t="array" ref="G138">edadCalc(E138)</f>
        <v>126</v>
      </c>
    </row>
    <row r="139" spans="6:7" x14ac:dyDescent="0.35">
      <c r="F139" s="12" cm="1">
        <f t="array" ref="F139">edadCalc(C139)</f>
        <v>126</v>
      </c>
      <c r="G139" s="12" cm="1">
        <f t="array" ref="G139">edadCalc(E139)</f>
        <v>126</v>
      </c>
    </row>
    <row r="140" spans="6:7" x14ac:dyDescent="0.35">
      <c r="F140" s="12" cm="1">
        <f t="array" ref="F140">edadCalc(C140)</f>
        <v>126</v>
      </c>
      <c r="G140" s="12" cm="1">
        <f t="array" ref="G140">edadCalc(E140)</f>
        <v>126</v>
      </c>
    </row>
    <row r="141" spans="6:7" x14ac:dyDescent="0.35">
      <c r="F141" s="12" cm="1">
        <f t="array" ref="F141">edadCalc(C141)</f>
        <v>126</v>
      </c>
      <c r="G141" s="12" cm="1">
        <f t="array" ref="G141">edadCalc(E141)</f>
        <v>126</v>
      </c>
    </row>
    <row r="142" spans="6:7" x14ac:dyDescent="0.35">
      <c r="F142" s="12" cm="1">
        <f t="array" ref="F142">edadCalc(C142)</f>
        <v>126</v>
      </c>
      <c r="G142" s="12" cm="1">
        <f t="array" ref="G142">edadCalc(E142)</f>
        <v>126</v>
      </c>
    </row>
    <row r="143" spans="6:7" x14ac:dyDescent="0.35">
      <c r="F143" s="12" cm="1">
        <f t="array" ref="F143">edadCalc(C143)</f>
        <v>126</v>
      </c>
      <c r="G143" s="12" cm="1">
        <f t="array" ref="G143">edadCalc(E143)</f>
        <v>126</v>
      </c>
    </row>
    <row r="144" spans="6:7" x14ac:dyDescent="0.35">
      <c r="F144" s="12" cm="1">
        <f t="array" ref="F144">edadCalc(C144)</f>
        <v>126</v>
      </c>
      <c r="G144" s="12" cm="1">
        <f t="array" ref="G144">edadCalc(E144)</f>
        <v>126</v>
      </c>
    </row>
    <row r="145" spans="6:7" x14ac:dyDescent="0.35">
      <c r="F145" s="12" cm="1">
        <f t="array" ref="F145">edadCalc(C145)</f>
        <v>126</v>
      </c>
      <c r="G145" s="12" cm="1">
        <f t="array" ref="G145">edadCalc(E145)</f>
        <v>126</v>
      </c>
    </row>
    <row r="146" spans="6:7" x14ac:dyDescent="0.35">
      <c r="F146" s="12" cm="1">
        <f t="array" ref="F146">edadCalc(C146)</f>
        <v>126</v>
      </c>
      <c r="G146" s="12" cm="1">
        <f t="array" ref="G146">edadCalc(E146)</f>
        <v>126</v>
      </c>
    </row>
    <row r="147" spans="6:7" x14ac:dyDescent="0.35">
      <c r="F147" s="12" cm="1">
        <f t="array" ref="F147">edadCalc(C147)</f>
        <v>126</v>
      </c>
      <c r="G147" s="12" cm="1">
        <f t="array" ref="G147">edadCalc(E147)</f>
        <v>126</v>
      </c>
    </row>
    <row r="148" spans="6:7" x14ac:dyDescent="0.35">
      <c r="F148" s="12" cm="1">
        <f t="array" ref="F148">edadCalc(C148)</f>
        <v>126</v>
      </c>
      <c r="G148" s="12" cm="1">
        <f t="array" ref="G148">edadCalc(E148)</f>
        <v>126</v>
      </c>
    </row>
    <row r="149" spans="6:7" x14ac:dyDescent="0.35">
      <c r="F149" s="12" cm="1">
        <f t="array" ref="F149">edadCalc(C149)</f>
        <v>126</v>
      </c>
      <c r="G149" s="12" cm="1">
        <f t="array" ref="G149">edadCalc(E149)</f>
        <v>126</v>
      </c>
    </row>
    <row r="150" spans="6:7" x14ac:dyDescent="0.35">
      <c r="F150" s="12" cm="1">
        <f t="array" ref="F150">edadCalc(C150)</f>
        <v>126</v>
      </c>
      <c r="G150" s="12" cm="1">
        <f t="array" ref="G150">edadCalc(E150)</f>
        <v>126</v>
      </c>
    </row>
    <row r="151" spans="6:7" x14ac:dyDescent="0.35">
      <c r="F151" s="12" cm="1">
        <f t="array" ref="F151">edadCalc(C151)</f>
        <v>126</v>
      </c>
      <c r="G151" s="12" cm="1">
        <f t="array" ref="G151">edadCalc(E151)</f>
        <v>126</v>
      </c>
    </row>
    <row r="152" spans="6:7" x14ac:dyDescent="0.35">
      <c r="F152" s="12" cm="1">
        <f t="array" ref="F152">edadCalc(C152)</f>
        <v>126</v>
      </c>
      <c r="G152" s="12" cm="1">
        <f t="array" ref="G152">edadCalc(E152)</f>
        <v>126</v>
      </c>
    </row>
    <row r="153" spans="6:7" x14ac:dyDescent="0.35">
      <c r="F153" s="12" cm="1">
        <f t="array" ref="F153">edadCalc(C153)</f>
        <v>126</v>
      </c>
      <c r="G153" s="12" cm="1">
        <f t="array" ref="G153">edadCalc(E153)</f>
        <v>126</v>
      </c>
    </row>
    <row r="154" spans="6:7" x14ac:dyDescent="0.35">
      <c r="F154" s="12" cm="1">
        <f t="array" ref="F154">edadCalc(C154)</f>
        <v>126</v>
      </c>
      <c r="G154" s="12" cm="1">
        <f t="array" ref="G154">edadCalc(E154)</f>
        <v>126</v>
      </c>
    </row>
    <row r="155" spans="6:7" x14ac:dyDescent="0.35">
      <c r="F155" s="12" cm="1">
        <f t="array" ref="F155">edadCalc(C155)</f>
        <v>126</v>
      </c>
      <c r="G155" s="12" cm="1">
        <f t="array" ref="G155">edadCalc(E155)</f>
        <v>126</v>
      </c>
    </row>
    <row r="156" spans="6:7" x14ac:dyDescent="0.35">
      <c r="F156" s="12" cm="1">
        <f t="array" ref="F156">edadCalc(C156)</f>
        <v>126</v>
      </c>
      <c r="G156" s="12" cm="1">
        <f t="array" ref="G156">edadCalc(E156)</f>
        <v>126</v>
      </c>
    </row>
    <row r="157" spans="6:7" x14ac:dyDescent="0.35">
      <c r="F157" s="12" cm="1">
        <f t="array" ref="F157">edadCalc(C157)</f>
        <v>126</v>
      </c>
      <c r="G157" s="12" cm="1">
        <f t="array" ref="G157">edadCalc(E157)</f>
        <v>126</v>
      </c>
    </row>
    <row r="158" spans="6:7" x14ac:dyDescent="0.35">
      <c r="F158" s="12" cm="1">
        <f t="array" ref="F158">edadCalc(C158)</f>
        <v>126</v>
      </c>
      <c r="G158" s="12" cm="1">
        <f t="array" ref="G158">edadCalc(E158)</f>
        <v>126</v>
      </c>
    </row>
    <row r="159" spans="6:7" x14ac:dyDescent="0.35">
      <c r="F159" s="12" cm="1">
        <f t="array" ref="F159">edadCalc(C159)</f>
        <v>126</v>
      </c>
      <c r="G159" s="12" cm="1">
        <f t="array" ref="G159">edadCalc(E159)</f>
        <v>126</v>
      </c>
    </row>
    <row r="160" spans="6:7" x14ac:dyDescent="0.35">
      <c r="F160" s="12" cm="1">
        <f t="array" ref="F160">edadCalc(C160)</f>
        <v>126</v>
      </c>
      <c r="G160" s="12" cm="1">
        <f t="array" ref="G160">edadCalc(E160)</f>
        <v>126</v>
      </c>
    </row>
    <row r="161" spans="6:7" x14ac:dyDescent="0.35">
      <c r="F161" s="12" cm="1">
        <f t="array" ref="F161">edadCalc(C161)</f>
        <v>126</v>
      </c>
      <c r="G161" s="12" cm="1">
        <f t="array" ref="G161">edadCalc(E161)</f>
        <v>126</v>
      </c>
    </row>
    <row r="162" spans="6:7" x14ac:dyDescent="0.35">
      <c r="F162" s="12" cm="1">
        <f t="array" ref="F162">edadCalc(C162)</f>
        <v>126</v>
      </c>
      <c r="G162" s="12" cm="1">
        <f t="array" ref="G162">edadCalc(E162)</f>
        <v>126</v>
      </c>
    </row>
    <row r="163" spans="6:7" x14ac:dyDescent="0.35">
      <c r="F163" s="12" cm="1">
        <f t="array" ref="F163">edadCalc(C163)</f>
        <v>126</v>
      </c>
      <c r="G163" s="12" cm="1">
        <f t="array" ref="G163">edadCalc(E163)</f>
        <v>126</v>
      </c>
    </row>
    <row r="164" spans="6:7" x14ac:dyDescent="0.35">
      <c r="F164" s="12" cm="1">
        <f t="array" ref="F164">edadCalc(C164)</f>
        <v>126</v>
      </c>
      <c r="G164" s="12" cm="1">
        <f t="array" ref="G164">edadCalc(E164)</f>
        <v>126</v>
      </c>
    </row>
    <row r="165" spans="6:7" x14ac:dyDescent="0.35">
      <c r="F165" s="12" cm="1">
        <f t="array" ref="F165">edadCalc(C165)</f>
        <v>126</v>
      </c>
      <c r="G165" s="12" cm="1">
        <f t="array" ref="G165">edadCalc(E165)</f>
        <v>126</v>
      </c>
    </row>
    <row r="166" spans="6:7" x14ac:dyDescent="0.35">
      <c r="F166" s="12" cm="1">
        <f t="array" ref="F166">edadCalc(C166)</f>
        <v>126</v>
      </c>
      <c r="G166" s="12" cm="1">
        <f t="array" ref="G166">edadCalc(E166)</f>
        <v>126</v>
      </c>
    </row>
    <row r="167" spans="6:7" x14ac:dyDescent="0.35">
      <c r="G167" s="12" cm="1">
        <f t="array" ref="G167">edadCalc(E167)</f>
        <v>126</v>
      </c>
    </row>
    <row r="168" spans="6:7" x14ac:dyDescent="0.35">
      <c r="G168" s="12" cm="1">
        <f t="array" ref="G168">edadCalc(E168)</f>
        <v>126</v>
      </c>
    </row>
    <row r="169" spans="6:7" x14ac:dyDescent="0.35">
      <c r="G169" s="12" cm="1">
        <f t="array" ref="G169">edadCalc(E169)</f>
        <v>126</v>
      </c>
    </row>
    <row r="170" spans="6:7" x14ac:dyDescent="0.35">
      <c r="G170" s="12" cm="1">
        <f t="array" ref="G170">edadCalc(E170)</f>
        <v>126</v>
      </c>
    </row>
    <row r="171" spans="6:7" x14ac:dyDescent="0.35">
      <c r="G171" s="12" cm="1">
        <f t="array" ref="G171">edadCalc(E171)</f>
        <v>126</v>
      </c>
    </row>
    <row r="172" spans="6:7" x14ac:dyDescent="0.35">
      <c r="G172" s="12" cm="1">
        <f t="array" ref="G172">edadCalc(E172)</f>
        <v>126</v>
      </c>
    </row>
    <row r="173" spans="6:7" x14ac:dyDescent="0.35">
      <c r="G173" s="12" cm="1">
        <f t="array" ref="G173">edadCalc(E173)</f>
        <v>126</v>
      </c>
    </row>
    <row r="174" spans="6:7" x14ac:dyDescent="0.35">
      <c r="G174" s="12" cm="1">
        <f t="array" ref="G174">edadCalc(E174)</f>
        <v>126</v>
      </c>
    </row>
    <row r="175" spans="6:7" x14ac:dyDescent="0.35">
      <c r="G175" s="12" cm="1">
        <f t="array" ref="G175">edadCalc(E175)</f>
        <v>126</v>
      </c>
    </row>
    <row r="176" spans="6:7" x14ac:dyDescent="0.35">
      <c r="G176" s="12" cm="1">
        <f t="array" ref="G176">edadCalc(E176)</f>
        <v>126</v>
      </c>
    </row>
    <row r="177" spans="7:7" x14ac:dyDescent="0.35">
      <c r="G177" s="12" cm="1">
        <f t="array" ref="G177">edadCalc(E177)</f>
        <v>126</v>
      </c>
    </row>
    <row r="178" spans="7:7" x14ac:dyDescent="0.35">
      <c r="G178" s="12" cm="1">
        <f t="array" ref="G178">edadCalc(E178)</f>
        <v>126</v>
      </c>
    </row>
    <row r="179" spans="7:7" x14ac:dyDescent="0.35">
      <c r="G179" s="12" cm="1">
        <f t="array" ref="G179">edadCalc(E179)</f>
        <v>126</v>
      </c>
    </row>
    <row r="180" spans="7:7" x14ac:dyDescent="0.35">
      <c r="G180" s="12" cm="1">
        <f t="array" ref="G180">edadCalc(E180)</f>
        <v>126</v>
      </c>
    </row>
    <row r="181" spans="7:7" x14ac:dyDescent="0.35">
      <c r="G181" s="12" cm="1">
        <f t="array" ref="G181">edadCalc(E181)</f>
        <v>126</v>
      </c>
    </row>
    <row r="182" spans="7:7" x14ac:dyDescent="0.35">
      <c r="G182" s="12" cm="1">
        <f t="array" ref="G182">edadCalc(E182)</f>
        <v>126</v>
      </c>
    </row>
    <row r="183" spans="7:7" x14ac:dyDescent="0.35">
      <c r="G183" s="12" cm="1">
        <f t="array" ref="G183">edadCalc(E183)</f>
        <v>126</v>
      </c>
    </row>
    <row r="184" spans="7:7" x14ac:dyDescent="0.35">
      <c r="G184" s="12" cm="1">
        <f t="array" ref="G184">edadCalc(E184)</f>
        <v>126</v>
      </c>
    </row>
    <row r="185" spans="7:7" x14ac:dyDescent="0.35">
      <c r="G185" s="12" cm="1">
        <f t="array" ref="G185">edadCalc(E185)</f>
        <v>126</v>
      </c>
    </row>
    <row r="186" spans="7:7" x14ac:dyDescent="0.35">
      <c r="G186" s="12" cm="1">
        <f t="array" ref="G186">edadCalc(E186)</f>
        <v>126</v>
      </c>
    </row>
    <row r="187" spans="7:7" x14ac:dyDescent="0.35">
      <c r="G187" s="12" cm="1">
        <f t="array" ref="G187">edadCalc(E187)</f>
        <v>126</v>
      </c>
    </row>
    <row r="188" spans="7:7" x14ac:dyDescent="0.35">
      <c r="G188" s="12" cm="1">
        <f t="array" ref="G188">edadCalc(E188)</f>
        <v>126</v>
      </c>
    </row>
    <row r="189" spans="7:7" x14ac:dyDescent="0.35">
      <c r="G189" s="12" cm="1">
        <f t="array" ref="G189">edadCalc(E189)</f>
        <v>126</v>
      </c>
    </row>
    <row r="190" spans="7:7" x14ac:dyDescent="0.35">
      <c r="G190" s="12" cm="1">
        <f t="array" ref="G190">edadCalc(E190)</f>
        <v>126</v>
      </c>
    </row>
    <row r="191" spans="7:7" x14ac:dyDescent="0.35">
      <c r="G191" s="12" cm="1">
        <f t="array" ref="G191">edadCalc(E191)</f>
        <v>126</v>
      </c>
    </row>
    <row r="192" spans="7:7" x14ac:dyDescent="0.35">
      <c r="G192" s="12" cm="1">
        <f t="array" ref="G192">edadCalc(E192)</f>
        <v>126</v>
      </c>
    </row>
    <row r="193" spans="7:7" x14ac:dyDescent="0.35">
      <c r="G193" s="12" cm="1">
        <f t="array" ref="G193">edadCalc(E193)</f>
        <v>126</v>
      </c>
    </row>
    <row r="194" spans="7:7" x14ac:dyDescent="0.35">
      <c r="G194" s="12" cm="1">
        <f t="array" ref="G194">edadCalc(E194)</f>
        <v>126</v>
      </c>
    </row>
    <row r="195" spans="7:7" x14ac:dyDescent="0.35">
      <c r="G195" s="12" cm="1">
        <f t="array" ref="G195">edadCalc(E195)</f>
        <v>126</v>
      </c>
    </row>
    <row r="196" spans="7:7" x14ac:dyDescent="0.35">
      <c r="G196" s="12" cm="1">
        <f t="array" ref="G196">edadCalc(E196)</f>
        <v>126</v>
      </c>
    </row>
    <row r="197" spans="7:7" x14ac:dyDescent="0.35">
      <c r="G197" s="12" cm="1">
        <f t="array" ref="G197">edadCalc(E197)</f>
        <v>126</v>
      </c>
    </row>
    <row r="198" spans="7:7" x14ac:dyDescent="0.35">
      <c r="G198" s="12" cm="1">
        <f t="array" ref="G198">edadCalc(E198)</f>
        <v>126</v>
      </c>
    </row>
    <row r="199" spans="7:7" x14ac:dyDescent="0.35">
      <c r="G199" s="12" cm="1">
        <f t="array" ref="G199">edadCalc(E199)</f>
        <v>126</v>
      </c>
    </row>
    <row r="200" spans="7:7" x14ac:dyDescent="0.35">
      <c r="G200" s="12" cm="1">
        <f t="array" ref="G200">edadCalc(E200)</f>
        <v>126</v>
      </c>
    </row>
    <row r="201" spans="7:7" x14ac:dyDescent="0.35">
      <c r="G201" s="12" cm="1">
        <f t="array" ref="G201">edadCalc(E201)</f>
        <v>126</v>
      </c>
    </row>
    <row r="202" spans="7:7" x14ac:dyDescent="0.35">
      <c r="G202" s="12" cm="1">
        <f t="array" ref="G202">edadCalc(E202)</f>
        <v>126</v>
      </c>
    </row>
    <row r="203" spans="7:7" x14ac:dyDescent="0.35">
      <c r="G203" s="12" cm="1">
        <f t="array" ref="G203">edadCalc(E203)</f>
        <v>126</v>
      </c>
    </row>
    <row r="204" spans="7:7" x14ac:dyDescent="0.35">
      <c r="G204" s="12" cm="1">
        <f t="array" ref="G204">edadCalc(E204)</f>
        <v>126</v>
      </c>
    </row>
    <row r="205" spans="7:7" x14ac:dyDescent="0.35">
      <c r="G205" s="12" cm="1">
        <f t="array" ref="G205">edadCalc(E205)</f>
        <v>126</v>
      </c>
    </row>
    <row r="206" spans="7:7" x14ac:dyDescent="0.35">
      <c r="G206" s="12" cm="1">
        <f t="array" ref="G206">edadCalc(E206)</f>
        <v>126</v>
      </c>
    </row>
    <row r="207" spans="7:7" x14ac:dyDescent="0.35">
      <c r="G207" s="12" cm="1">
        <f t="array" ref="G207">edadCalc(E207)</f>
        <v>126</v>
      </c>
    </row>
    <row r="208" spans="7:7" x14ac:dyDescent="0.35">
      <c r="G208" s="12" cm="1">
        <f t="array" ref="G208">edadCalc(E208)</f>
        <v>126</v>
      </c>
    </row>
    <row r="209" spans="7:7" x14ac:dyDescent="0.35">
      <c r="G209" s="12" cm="1">
        <f t="array" ref="G209">edadCalc(E209)</f>
        <v>126</v>
      </c>
    </row>
    <row r="210" spans="7:7" x14ac:dyDescent="0.35">
      <c r="G210" s="12" cm="1">
        <f t="array" ref="G210">edadCalc(E210)</f>
        <v>126</v>
      </c>
    </row>
    <row r="211" spans="7:7" x14ac:dyDescent="0.35">
      <c r="G211" s="12" cm="1">
        <f t="array" ref="G211">edadCalc(E211)</f>
        <v>126</v>
      </c>
    </row>
    <row r="212" spans="7:7" x14ac:dyDescent="0.35">
      <c r="G212" s="12" cm="1">
        <f t="array" ref="G212">edadCalc(E212)</f>
        <v>126</v>
      </c>
    </row>
    <row r="213" spans="7:7" x14ac:dyDescent="0.35">
      <c r="G213" s="12" cm="1">
        <f t="array" ref="G213">edadCalc(E213)</f>
        <v>126</v>
      </c>
    </row>
    <row r="214" spans="7:7" x14ac:dyDescent="0.35">
      <c r="G214" s="12" cm="1">
        <f t="array" ref="G214">edadCalc(E214)</f>
        <v>126</v>
      </c>
    </row>
    <row r="215" spans="7:7" x14ac:dyDescent="0.35">
      <c r="G215" s="12" cm="1">
        <f t="array" ref="G215">edadCalc(E215)</f>
        <v>126</v>
      </c>
    </row>
    <row r="216" spans="7:7" x14ac:dyDescent="0.35">
      <c r="G216" s="12" cm="1">
        <f t="array" ref="G216">edadCalc(E216)</f>
        <v>126</v>
      </c>
    </row>
    <row r="217" spans="7:7" x14ac:dyDescent="0.35">
      <c r="G217" s="12" cm="1">
        <f t="array" ref="G217">edadCalc(E217)</f>
        <v>126</v>
      </c>
    </row>
    <row r="218" spans="7:7" x14ac:dyDescent="0.35">
      <c r="G218" s="12" cm="1">
        <f t="array" ref="G218">edadCalc(E218)</f>
        <v>126</v>
      </c>
    </row>
    <row r="219" spans="7:7" x14ac:dyDescent="0.35">
      <c r="G219" s="12" cm="1">
        <f t="array" ref="G219">edadCalc(E219)</f>
        <v>126</v>
      </c>
    </row>
    <row r="220" spans="7:7" x14ac:dyDescent="0.35">
      <c r="G220" s="12" cm="1">
        <f t="array" ref="G220">edadCalc(E220)</f>
        <v>126</v>
      </c>
    </row>
    <row r="221" spans="7:7" x14ac:dyDescent="0.35">
      <c r="G221" s="12" cm="1">
        <f t="array" ref="G221">edadCalc(E221)</f>
        <v>126</v>
      </c>
    </row>
    <row r="222" spans="7:7" x14ac:dyDescent="0.35">
      <c r="G222" s="12" cm="1">
        <f t="array" ref="G222">edadCalc(E222)</f>
        <v>126</v>
      </c>
    </row>
    <row r="223" spans="7:7" x14ac:dyDescent="0.35">
      <c r="G223" s="12" cm="1">
        <f t="array" ref="G223">edadCalc(E223)</f>
        <v>126</v>
      </c>
    </row>
    <row r="224" spans="7:7" x14ac:dyDescent="0.35">
      <c r="G224" s="12" cm="1">
        <f t="array" ref="G224">edadCalc(E224)</f>
        <v>126</v>
      </c>
    </row>
    <row r="225" spans="7:7" x14ac:dyDescent="0.35">
      <c r="G225" s="12" cm="1">
        <f t="array" ref="G225">edadCalc(E225)</f>
        <v>126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DD95" zoomScale="77" workbookViewId="0">
      <selection activeCell="C17" sqref="C17"/>
    </sheetView>
  </sheetViews>
  <sheetFormatPr baseColWidth="10" defaultRowHeight="14.5" x14ac:dyDescent="0.35"/>
  <sheetData>
    <row r="1" spans="1:127" x14ac:dyDescent="0.35">
      <c r="A1" s="33" t="s">
        <v>11</v>
      </c>
      <c r="B1" s="34">
        <v>2025</v>
      </c>
      <c r="C1" s="34">
        <v>2026</v>
      </c>
      <c r="D1" s="34">
        <v>2027</v>
      </c>
      <c r="E1" s="34">
        <v>2028</v>
      </c>
      <c r="F1" s="34">
        <v>2029</v>
      </c>
      <c r="G1" s="34">
        <v>2030</v>
      </c>
      <c r="H1" s="34">
        <v>2031</v>
      </c>
      <c r="I1" s="34">
        <v>2032</v>
      </c>
      <c r="J1" s="34">
        <v>2033</v>
      </c>
      <c r="K1" s="34">
        <v>2034</v>
      </c>
      <c r="L1" s="34">
        <v>2035</v>
      </c>
      <c r="M1" s="34">
        <v>2036</v>
      </c>
      <c r="N1" s="34">
        <v>2037</v>
      </c>
      <c r="O1" s="34">
        <v>2038</v>
      </c>
      <c r="P1" s="34">
        <v>2039</v>
      </c>
      <c r="Q1" s="34">
        <v>2040</v>
      </c>
      <c r="R1" s="34">
        <v>2041</v>
      </c>
      <c r="S1" s="34">
        <v>2042</v>
      </c>
      <c r="T1" s="34">
        <v>2043</v>
      </c>
      <c r="U1" s="34">
        <v>2044</v>
      </c>
      <c r="V1" s="34">
        <v>2045</v>
      </c>
      <c r="W1" s="34">
        <v>2046</v>
      </c>
      <c r="X1" s="34">
        <v>2047</v>
      </c>
      <c r="Y1" s="34">
        <v>2048</v>
      </c>
      <c r="Z1" s="34">
        <v>2049</v>
      </c>
      <c r="AA1" s="34">
        <v>2050</v>
      </c>
      <c r="AB1" s="34">
        <v>2051</v>
      </c>
      <c r="AC1" s="34">
        <v>2052</v>
      </c>
      <c r="AD1" s="34">
        <v>2053</v>
      </c>
      <c r="AE1" s="34">
        <v>2054</v>
      </c>
      <c r="AF1" s="34">
        <v>2055</v>
      </c>
      <c r="AG1" s="34">
        <v>2056</v>
      </c>
      <c r="AH1" s="34">
        <v>2057</v>
      </c>
      <c r="AI1" s="34">
        <v>2058</v>
      </c>
      <c r="AJ1" s="34">
        <v>2059</v>
      </c>
      <c r="AK1" s="34">
        <v>2060</v>
      </c>
      <c r="AL1" s="34">
        <v>2061</v>
      </c>
      <c r="AM1" s="34">
        <v>2062</v>
      </c>
      <c r="AN1" s="34">
        <v>2063</v>
      </c>
      <c r="AO1" s="34">
        <v>2064</v>
      </c>
      <c r="AP1" s="34">
        <v>2065</v>
      </c>
      <c r="AQ1" s="34">
        <v>2066</v>
      </c>
      <c r="AR1" s="34">
        <v>2067</v>
      </c>
      <c r="AS1" s="34">
        <v>2068</v>
      </c>
      <c r="AT1" s="34">
        <v>2069</v>
      </c>
      <c r="AU1" s="34">
        <v>2070</v>
      </c>
      <c r="AV1" s="34">
        <v>2071</v>
      </c>
      <c r="AW1" s="34">
        <v>2072</v>
      </c>
      <c r="AX1" s="34">
        <v>2073</v>
      </c>
      <c r="AY1" s="34">
        <v>2074</v>
      </c>
      <c r="AZ1" s="34">
        <v>2075</v>
      </c>
      <c r="BA1" s="34">
        <v>2076</v>
      </c>
      <c r="BB1" s="34">
        <v>2077</v>
      </c>
      <c r="BC1" s="34">
        <v>2078</v>
      </c>
      <c r="BD1" s="34">
        <v>2079</v>
      </c>
      <c r="BE1" s="34">
        <v>2080</v>
      </c>
      <c r="BF1" s="34">
        <v>2081</v>
      </c>
      <c r="BG1" s="34">
        <v>2082</v>
      </c>
      <c r="BH1" s="34">
        <v>2083</v>
      </c>
      <c r="BI1" s="34">
        <v>2084</v>
      </c>
      <c r="BJ1" s="34">
        <v>2085</v>
      </c>
      <c r="BK1" s="34">
        <v>2086</v>
      </c>
      <c r="BL1" s="34">
        <v>2087</v>
      </c>
      <c r="BM1" s="34">
        <v>2088</v>
      </c>
      <c r="BN1" s="34">
        <v>2089</v>
      </c>
      <c r="BO1" s="34">
        <v>2090</v>
      </c>
      <c r="BP1" s="34">
        <v>2091</v>
      </c>
      <c r="BQ1" s="34">
        <v>2092</v>
      </c>
      <c r="BR1" s="34">
        <v>2093</v>
      </c>
      <c r="BS1" s="34">
        <v>2094</v>
      </c>
      <c r="BT1" s="34">
        <v>2095</v>
      </c>
      <c r="BU1" s="34">
        <v>2096</v>
      </c>
      <c r="BV1" s="34">
        <v>2097</v>
      </c>
      <c r="BW1" s="34">
        <v>2098</v>
      </c>
      <c r="BX1" s="34">
        <v>2099</v>
      </c>
      <c r="BY1" s="34">
        <v>2100</v>
      </c>
      <c r="BZ1" s="34">
        <v>2101</v>
      </c>
      <c r="CA1" s="34">
        <v>2102</v>
      </c>
      <c r="CB1" s="34">
        <v>2103</v>
      </c>
      <c r="CC1" s="34">
        <v>2104</v>
      </c>
      <c r="CD1" s="34">
        <v>2105</v>
      </c>
      <c r="CE1" s="34">
        <v>2106</v>
      </c>
      <c r="CF1" s="34">
        <v>2107</v>
      </c>
      <c r="CG1" s="34">
        <v>2108</v>
      </c>
      <c r="CH1" s="34">
        <v>2109</v>
      </c>
      <c r="CI1" s="34">
        <v>2110</v>
      </c>
      <c r="CJ1" s="34">
        <v>2111</v>
      </c>
      <c r="CK1" s="34">
        <v>2112</v>
      </c>
      <c r="CL1" s="34">
        <v>2113</v>
      </c>
      <c r="CM1" s="34">
        <v>2114</v>
      </c>
      <c r="CN1" s="34">
        <v>2115</v>
      </c>
      <c r="CO1" s="34">
        <v>2116</v>
      </c>
      <c r="CP1" s="34">
        <v>2117</v>
      </c>
      <c r="CQ1" s="34">
        <v>2118</v>
      </c>
      <c r="CR1" s="34">
        <v>2119</v>
      </c>
      <c r="CS1" s="34">
        <v>2120</v>
      </c>
      <c r="CT1" s="34">
        <v>2121</v>
      </c>
      <c r="CU1" s="34">
        <v>2122</v>
      </c>
      <c r="CV1" s="34">
        <v>2123</v>
      </c>
      <c r="CW1" s="34">
        <v>2124</v>
      </c>
      <c r="CX1" s="34">
        <v>2125</v>
      </c>
      <c r="CY1" s="34">
        <v>2126</v>
      </c>
      <c r="CZ1" s="34">
        <v>2127</v>
      </c>
      <c r="DA1" s="34">
        <v>2128</v>
      </c>
      <c r="DB1" s="34">
        <v>2129</v>
      </c>
      <c r="DC1" s="34">
        <v>2130</v>
      </c>
      <c r="DD1" s="34">
        <v>2131</v>
      </c>
      <c r="DE1" s="34">
        <v>2132</v>
      </c>
      <c r="DF1" s="34">
        <v>2133</v>
      </c>
      <c r="DG1" s="34">
        <v>2134</v>
      </c>
      <c r="DH1" s="34">
        <v>2135</v>
      </c>
      <c r="DI1" s="34">
        <v>2136</v>
      </c>
      <c r="DJ1" s="34">
        <v>2137</v>
      </c>
      <c r="DK1" s="34">
        <v>2138</v>
      </c>
      <c r="DL1" s="34">
        <v>2139</v>
      </c>
      <c r="DM1" s="34">
        <v>2140</v>
      </c>
      <c r="DN1" s="34">
        <v>2141</v>
      </c>
      <c r="DO1" s="34">
        <v>2142</v>
      </c>
      <c r="DP1" s="34">
        <v>2143</v>
      </c>
      <c r="DQ1" s="34">
        <v>2144</v>
      </c>
      <c r="DR1" s="34">
        <v>2145</v>
      </c>
      <c r="DS1" s="34">
        <v>2146</v>
      </c>
      <c r="DT1" s="34">
        <v>2147</v>
      </c>
      <c r="DU1" s="34">
        <v>2148</v>
      </c>
      <c r="DV1" s="34">
        <v>2149</v>
      </c>
      <c r="DW1" s="34">
        <v>2150</v>
      </c>
    </row>
    <row r="2" spans="1:127" x14ac:dyDescent="0.35">
      <c r="A2" s="34">
        <v>0</v>
      </c>
      <c r="B2" s="11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4">
        <v>1</v>
      </c>
      <c r="B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4">
        <v>2</v>
      </c>
      <c r="B4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4">
        <v>3</v>
      </c>
      <c r="B5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4">
        <v>4</v>
      </c>
      <c r="B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4">
        <v>5</v>
      </c>
      <c r="B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4">
        <v>6</v>
      </c>
      <c r="B8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4">
        <v>7</v>
      </c>
      <c r="B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4">
        <v>8</v>
      </c>
      <c r="B10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4">
        <v>9</v>
      </c>
      <c r="B11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4">
        <v>10</v>
      </c>
      <c r="B1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4">
        <v>11</v>
      </c>
      <c r="B1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4">
        <v>12</v>
      </c>
      <c r="B14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4">
        <v>13</v>
      </c>
      <c r="B15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4">
        <v>14</v>
      </c>
      <c r="B1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4">
        <v>15</v>
      </c>
      <c r="B1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4">
        <v>16</v>
      </c>
      <c r="B18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4">
        <v>17</v>
      </c>
      <c r="B1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4">
        <v>18</v>
      </c>
      <c r="B20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4">
        <v>19</v>
      </c>
      <c r="B21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4">
        <v>20</v>
      </c>
      <c r="B2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4">
        <v>21</v>
      </c>
      <c r="B2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4">
        <v>22</v>
      </c>
      <c r="B24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4">
        <v>23</v>
      </c>
      <c r="B25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4">
        <v>24</v>
      </c>
      <c r="B2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4">
        <v>25</v>
      </c>
      <c r="B2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4">
        <v>26</v>
      </c>
      <c r="B28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4">
        <v>27</v>
      </c>
      <c r="B2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4">
        <v>28</v>
      </c>
      <c r="B30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4">
        <v>29</v>
      </c>
      <c r="B31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4">
        <v>30</v>
      </c>
      <c r="B3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4">
        <v>31</v>
      </c>
      <c r="B3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4">
        <v>32</v>
      </c>
      <c r="B34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4">
        <v>33</v>
      </c>
      <c r="B35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4">
        <v>34</v>
      </c>
      <c r="B3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4">
        <v>35</v>
      </c>
      <c r="B3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4">
        <v>36</v>
      </c>
      <c r="B38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4">
        <v>37</v>
      </c>
      <c r="B3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4">
        <v>38</v>
      </c>
      <c r="B40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4">
        <v>39</v>
      </c>
      <c r="B41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4">
        <v>40</v>
      </c>
      <c r="B4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4">
        <v>41</v>
      </c>
      <c r="B4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4">
        <v>42</v>
      </c>
      <c r="B44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4">
        <v>43</v>
      </c>
      <c r="B45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4">
        <v>44</v>
      </c>
      <c r="B4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4">
        <v>45</v>
      </c>
      <c r="B4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4">
        <v>46</v>
      </c>
      <c r="B4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4">
        <v>47</v>
      </c>
      <c r="B49">
        <v>1.3475E-3</v>
      </c>
      <c r="C49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4">
        <v>48</v>
      </c>
      <c r="B50">
        <v>1.4603000000000001E-3</v>
      </c>
      <c r="C50">
        <v>1.4303E-3</v>
      </c>
      <c r="D5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4">
        <v>49</v>
      </c>
      <c r="B51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4">
        <v>50</v>
      </c>
      <c r="B5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4">
        <v>51</v>
      </c>
      <c r="B5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4">
        <v>52</v>
      </c>
      <c r="B54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4">
        <v>53</v>
      </c>
      <c r="B55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4">
        <v>54</v>
      </c>
      <c r="B5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4">
        <v>55</v>
      </c>
      <c r="B5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4">
        <v>56</v>
      </c>
      <c r="B58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4">
        <v>57</v>
      </c>
      <c r="B5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4">
        <v>58</v>
      </c>
      <c r="B60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4">
        <v>59</v>
      </c>
      <c r="B61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4">
        <v>60</v>
      </c>
      <c r="B6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4">
        <v>61</v>
      </c>
      <c r="B6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4">
        <v>62</v>
      </c>
      <c r="B64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4">
        <v>63</v>
      </c>
      <c r="B65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4">
        <v>64</v>
      </c>
      <c r="B6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4">
        <v>65</v>
      </c>
      <c r="B6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4">
        <v>66</v>
      </c>
      <c r="B68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4">
        <v>67</v>
      </c>
      <c r="B6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4">
        <v>68</v>
      </c>
      <c r="B70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4">
        <v>69</v>
      </c>
      <c r="B71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4">
        <v>70</v>
      </c>
      <c r="B7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4">
        <v>71</v>
      </c>
      <c r="B7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4">
        <v>72</v>
      </c>
      <c r="B74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4">
        <v>73</v>
      </c>
      <c r="B75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4">
        <v>74</v>
      </c>
      <c r="B7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4">
        <v>75</v>
      </c>
      <c r="B7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4">
        <v>76</v>
      </c>
      <c r="B78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4">
        <v>77</v>
      </c>
      <c r="B7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4">
        <v>78</v>
      </c>
      <c r="B80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4">
        <v>79</v>
      </c>
      <c r="B81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4">
        <v>80</v>
      </c>
      <c r="B8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4">
        <v>81</v>
      </c>
      <c r="B8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4">
        <v>82</v>
      </c>
      <c r="B84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4">
        <v>83</v>
      </c>
      <c r="B85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4">
        <v>84</v>
      </c>
      <c r="B8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4">
        <v>85</v>
      </c>
      <c r="B8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4">
        <v>86</v>
      </c>
      <c r="B88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4">
        <v>87</v>
      </c>
      <c r="B8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4">
        <v>88</v>
      </c>
      <c r="B90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4">
        <v>89</v>
      </c>
      <c r="B91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4">
        <v>90</v>
      </c>
      <c r="B9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4">
        <v>91</v>
      </c>
      <c r="B9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4">
        <v>92</v>
      </c>
      <c r="B94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4">
        <v>93</v>
      </c>
      <c r="B95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4">
        <v>94</v>
      </c>
      <c r="B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4">
        <v>95</v>
      </c>
      <c r="B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4">
        <v>96</v>
      </c>
      <c r="B98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4">
        <v>97</v>
      </c>
      <c r="B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4">
        <v>98</v>
      </c>
      <c r="B100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4">
        <v>99</v>
      </c>
      <c r="B101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4">
        <v>100</v>
      </c>
      <c r="B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4">
        <v>101</v>
      </c>
      <c r="B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4">
        <v>102</v>
      </c>
      <c r="B104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4">
        <v>103</v>
      </c>
      <c r="B105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4">
        <v>104</v>
      </c>
      <c r="B10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4">
        <v>105</v>
      </c>
      <c r="B10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4">
        <v>106</v>
      </c>
      <c r="B108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4">
        <v>107</v>
      </c>
      <c r="B10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4">
        <v>108</v>
      </c>
      <c r="B110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4">
        <v>109</v>
      </c>
      <c r="B111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4">
        <v>110</v>
      </c>
      <c r="B11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4">
        <v>111</v>
      </c>
      <c r="B11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4">
        <v>112</v>
      </c>
      <c r="B114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4">
        <v>113</v>
      </c>
      <c r="B115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4">
        <v>114</v>
      </c>
      <c r="B11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4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61214f1e-7c9c-4651-838e-70ecd5869fc2"/>
    <ds:schemaRef ds:uri="http://purl.org/dc/dcmitype/"/>
    <ds:schemaRef ds:uri="http://schemas.microsoft.com/office/infopath/2007/PartnerControls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Supuestos</vt:lpstr>
      <vt:lpstr>Pensionados</vt:lpstr>
      <vt:lpstr>Empleados activos</vt:lpstr>
      <vt:lpstr>Primas por edad y sexo</vt:lpstr>
      <vt:lpstr>MuertesPensionados(d)</vt:lpstr>
      <vt:lpstr>Muertes Activos</vt:lpstr>
      <vt:lpstr>Pro Empleados Activos</vt:lpstr>
      <vt:lpstr>Proyección Beneficios muerAct</vt:lpstr>
      <vt:lpstr>Proyección salarial</vt:lpstr>
      <vt:lpstr>ProPensionados(b)</vt:lpstr>
      <vt:lpstr>Hombres</vt:lpstr>
      <vt:lpstr>Mujeres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MARIELA GARRO VILLANUEVA</cp:lastModifiedBy>
  <dcterms:created xsi:type="dcterms:W3CDTF">2018-05-03T14:51:58Z</dcterms:created>
  <dcterms:modified xsi:type="dcterms:W3CDTF">2026-06-16T02:39:04Z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